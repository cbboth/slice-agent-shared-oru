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 Scripts\"/>
    </mc:Choice>
  </mc:AlternateContent>
  <xr:revisionPtr revIDLastSave="0" documentId="8_{8F92B99A-4431-4AC7-87D6-860EFE6AEE58}" xr6:coauthVersionLast="47" xr6:coauthVersionMax="47" xr10:uidLastSave="{00000000-0000-0000-0000-000000000000}"/>
  <bookViews>
    <workbookView xWindow="-120" yWindow="-120" windowWidth="38640" windowHeight="15720" xr2:uid="{824D5939-080F-4269-800D-AAF55318D34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6" i="1" l="1"/>
  <c r="D256" i="1"/>
  <c r="B5" i="1"/>
  <c r="D5" i="1"/>
  <c r="B6" i="1"/>
  <c r="D6" i="1"/>
  <c r="B7" i="1"/>
  <c r="D7" i="1"/>
  <c r="B8" i="1"/>
  <c r="D8" i="1"/>
  <c r="B9" i="1"/>
  <c r="D9" i="1"/>
  <c r="B10" i="1"/>
  <c r="D10" i="1"/>
  <c r="B11" i="1"/>
  <c r="D11" i="1"/>
  <c r="B12" i="1"/>
  <c r="D12" i="1"/>
  <c r="B13" i="1"/>
  <c r="D13" i="1"/>
  <c r="B14" i="1"/>
  <c r="D14" i="1"/>
  <c r="B15" i="1"/>
  <c r="D15" i="1"/>
  <c r="B16" i="1"/>
  <c r="D16" i="1"/>
  <c r="B17" i="1"/>
  <c r="D17" i="1"/>
  <c r="B18" i="1"/>
  <c r="D18" i="1"/>
  <c r="B19" i="1"/>
  <c r="D19" i="1"/>
  <c r="B20" i="1"/>
  <c r="D20" i="1"/>
  <c r="B21" i="1"/>
  <c r="D21" i="1"/>
  <c r="B22" i="1"/>
  <c r="D22" i="1"/>
  <c r="B23" i="1"/>
  <c r="D23" i="1"/>
  <c r="B24" i="1"/>
  <c r="D24" i="1"/>
  <c r="B25" i="1"/>
  <c r="D25" i="1"/>
  <c r="B26" i="1"/>
  <c r="D26" i="1"/>
  <c r="B27" i="1"/>
  <c r="D27" i="1"/>
  <c r="B28" i="1"/>
  <c r="D28" i="1"/>
  <c r="B29" i="1"/>
  <c r="D29" i="1"/>
  <c r="B30" i="1"/>
  <c r="D30" i="1"/>
  <c r="B31" i="1"/>
  <c r="D31" i="1"/>
  <c r="B32" i="1"/>
  <c r="D32" i="1"/>
  <c r="B33" i="1"/>
  <c r="D33" i="1"/>
  <c r="B34" i="1"/>
  <c r="D34" i="1"/>
  <c r="B35" i="1"/>
  <c r="D35" i="1"/>
  <c r="B36" i="1"/>
  <c r="D36" i="1"/>
  <c r="B37" i="1"/>
  <c r="D37" i="1"/>
  <c r="B38" i="1"/>
  <c r="D38" i="1"/>
  <c r="B39" i="1"/>
  <c r="D39" i="1"/>
  <c r="B40" i="1"/>
  <c r="D40" i="1"/>
  <c r="B41" i="1"/>
  <c r="D41" i="1"/>
  <c r="B42" i="1"/>
  <c r="D42" i="1"/>
  <c r="B43" i="1"/>
  <c r="D43" i="1"/>
  <c r="B44" i="1"/>
  <c r="D44" i="1"/>
  <c r="B45" i="1"/>
  <c r="D45" i="1"/>
  <c r="B46" i="1"/>
  <c r="D46" i="1"/>
  <c r="B47" i="1"/>
  <c r="D47" i="1"/>
  <c r="B48" i="1"/>
  <c r="D48" i="1"/>
  <c r="B49" i="1"/>
  <c r="D49" i="1"/>
  <c r="B50" i="1"/>
  <c r="D50" i="1"/>
  <c r="B51" i="1"/>
  <c r="D51" i="1"/>
  <c r="B52" i="1"/>
  <c r="D52" i="1"/>
  <c r="B53" i="1"/>
  <c r="D53" i="1"/>
  <c r="B54" i="1"/>
  <c r="D54" i="1"/>
  <c r="B55" i="1"/>
  <c r="D55" i="1"/>
  <c r="B56" i="1"/>
  <c r="D56" i="1"/>
  <c r="B57" i="1"/>
  <c r="D57" i="1"/>
  <c r="B58" i="1"/>
  <c r="D58" i="1"/>
  <c r="B59" i="1"/>
  <c r="D59" i="1"/>
  <c r="B60" i="1"/>
  <c r="D60" i="1"/>
  <c r="B61" i="1"/>
  <c r="D61" i="1"/>
  <c r="B62" i="1"/>
  <c r="D62" i="1"/>
  <c r="B63" i="1"/>
  <c r="D63" i="1"/>
  <c r="B64" i="1"/>
  <c r="D64" i="1"/>
  <c r="B65" i="1"/>
  <c r="D65" i="1"/>
  <c r="B66" i="1"/>
  <c r="D66" i="1"/>
  <c r="B67" i="1"/>
  <c r="D67" i="1"/>
  <c r="B68" i="1"/>
  <c r="D68" i="1"/>
  <c r="B69" i="1"/>
  <c r="D69" i="1"/>
  <c r="B70" i="1"/>
  <c r="D70" i="1"/>
  <c r="B71" i="1"/>
  <c r="D71" i="1"/>
  <c r="B72" i="1"/>
  <c r="D72" i="1"/>
  <c r="B73" i="1"/>
  <c r="D73" i="1"/>
  <c r="B74" i="1"/>
  <c r="D74" i="1"/>
  <c r="B75" i="1"/>
  <c r="D75" i="1"/>
  <c r="B76" i="1"/>
  <c r="D76" i="1"/>
  <c r="B77" i="1"/>
  <c r="D77" i="1"/>
  <c r="B78" i="1"/>
  <c r="D78" i="1"/>
  <c r="B79" i="1"/>
  <c r="D79" i="1"/>
  <c r="B80" i="1"/>
  <c r="D80" i="1"/>
  <c r="B81" i="1"/>
  <c r="D81" i="1"/>
  <c r="B82" i="1"/>
  <c r="D82" i="1"/>
  <c r="B83" i="1"/>
  <c r="D83" i="1"/>
  <c r="B84" i="1"/>
  <c r="D84" i="1"/>
  <c r="B85" i="1"/>
  <c r="D85" i="1"/>
  <c r="B86" i="1"/>
  <c r="D86" i="1"/>
  <c r="B87" i="1"/>
  <c r="D87" i="1"/>
  <c r="B88" i="1"/>
  <c r="D88" i="1"/>
  <c r="B89" i="1"/>
  <c r="D89" i="1"/>
  <c r="B90" i="1"/>
  <c r="D90" i="1"/>
  <c r="B91" i="1"/>
  <c r="D91" i="1"/>
  <c r="B92" i="1"/>
  <c r="D92" i="1"/>
  <c r="B93" i="1"/>
  <c r="D93" i="1"/>
  <c r="B94" i="1"/>
  <c r="D94" i="1"/>
  <c r="B95" i="1"/>
  <c r="D95" i="1"/>
  <c r="B96" i="1"/>
  <c r="D96" i="1"/>
  <c r="B97" i="1"/>
  <c r="D97" i="1"/>
  <c r="B98" i="1"/>
  <c r="D98" i="1"/>
  <c r="B99" i="1"/>
  <c r="D99" i="1"/>
  <c r="B100" i="1"/>
  <c r="D100" i="1"/>
  <c r="B101" i="1"/>
  <c r="D101" i="1"/>
  <c r="B102" i="1"/>
  <c r="D102" i="1"/>
  <c r="B103" i="1"/>
  <c r="D103" i="1"/>
  <c r="B104" i="1"/>
  <c r="D104" i="1"/>
  <c r="B105" i="1"/>
  <c r="D105" i="1"/>
  <c r="B106" i="1"/>
  <c r="D106" i="1"/>
  <c r="B107" i="1"/>
  <c r="D107" i="1"/>
  <c r="B108" i="1"/>
  <c r="D108" i="1"/>
  <c r="B109" i="1"/>
  <c r="D109" i="1"/>
  <c r="B110" i="1"/>
  <c r="D110" i="1"/>
  <c r="B111" i="1"/>
  <c r="D111" i="1"/>
  <c r="B112" i="1"/>
  <c r="D112" i="1"/>
  <c r="B113" i="1"/>
  <c r="D113" i="1"/>
  <c r="B114" i="1"/>
  <c r="D114" i="1"/>
  <c r="B115" i="1"/>
  <c r="D115" i="1"/>
  <c r="B116" i="1"/>
  <c r="D116" i="1"/>
  <c r="B117" i="1"/>
  <c r="D117" i="1"/>
  <c r="B118" i="1"/>
  <c r="D118" i="1"/>
  <c r="B119" i="1"/>
  <c r="D119" i="1"/>
  <c r="B120" i="1"/>
  <c r="D120" i="1"/>
  <c r="B121" i="1"/>
  <c r="D121" i="1"/>
  <c r="B122" i="1"/>
  <c r="D122" i="1"/>
  <c r="B123" i="1"/>
  <c r="D123" i="1"/>
  <c r="B124" i="1"/>
  <c r="D124" i="1"/>
  <c r="B125" i="1"/>
  <c r="D125" i="1"/>
  <c r="B126" i="1"/>
  <c r="D126" i="1"/>
  <c r="B127" i="1"/>
  <c r="D127" i="1"/>
  <c r="B128" i="1"/>
  <c r="D128" i="1"/>
  <c r="B129" i="1"/>
  <c r="D129" i="1"/>
  <c r="B130" i="1"/>
  <c r="D130" i="1"/>
  <c r="B131" i="1"/>
  <c r="D131" i="1"/>
  <c r="B132" i="1"/>
  <c r="D132" i="1"/>
  <c r="B133" i="1"/>
  <c r="D133" i="1"/>
  <c r="B134" i="1"/>
  <c r="D134" i="1"/>
  <c r="B135" i="1"/>
  <c r="D135" i="1"/>
  <c r="B136" i="1"/>
  <c r="D136" i="1"/>
  <c r="B137" i="1"/>
  <c r="D137" i="1"/>
  <c r="B138" i="1"/>
  <c r="D138" i="1"/>
  <c r="B139" i="1"/>
  <c r="D139" i="1"/>
  <c r="B140" i="1"/>
  <c r="D140" i="1"/>
  <c r="B141" i="1"/>
  <c r="D141" i="1"/>
  <c r="B142" i="1"/>
  <c r="D142" i="1"/>
  <c r="B143" i="1"/>
  <c r="D143" i="1"/>
  <c r="B144" i="1"/>
  <c r="D144" i="1"/>
  <c r="B145" i="1"/>
  <c r="D145" i="1"/>
  <c r="B146" i="1"/>
  <c r="D146" i="1"/>
  <c r="B147" i="1"/>
  <c r="D147" i="1"/>
  <c r="B148" i="1"/>
  <c r="D148" i="1"/>
  <c r="B149" i="1"/>
  <c r="D149" i="1"/>
  <c r="B150" i="1"/>
  <c r="D150" i="1"/>
  <c r="B151" i="1"/>
  <c r="D151" i="1"/>
  <c r="B152" i="1"/>
  <c r="D152" i="1"/>
  <c r="B153" i="1"/>
  <c r="D153" i="1"/>
  <c r="B154" i="1"/>
  <c r="D154" i="1"/>
  <c r="B155" i="1"/>
  <c r="D155" i="1"/>
  <c r="B156" i="1"/>
  <c r="D156" i="1"/>
  <c r="B157" i="1"/>
  <c r="D157" i="1"/>
  <c r="B158" i="1"/>
  <c r="D158" i="1"/>
  <c r="B159" i="1"/>
  <c r="D159" i="1"/>
  <c r="B160" i="1"/>
  <c r="D160" i="1"/>
  <c r="B161" i="1"/>
  <c r="D161" i="1"/>
  <c r="B162" i="1"/>
  <c r="D162" i="1"/>
  <c r="B163" i="1"/>
  <c r="D163" i="1"/>
  <c r="B164" i="1"/>
  <c r="D164" i="1"/>
  <c r="B165" i="1"/>
  <c r="D165" i="1"/>
  <c r="B166" i="1"/>
  <c r="D166" i="1"/>
  <c r="B167" i="1"/>
  <c r="D167" i="1"/>
  <c r="B168" i="1"/>
  <c r="D168" i="1"/>
  <c r="B169" i="1"/>
  <c r="D169" i="1"/>
  <c r="B170" i="1"/>
  <c r="D170" i="1"/>
  <c r="B171" i="1"/>
  <c r="D171" i="1"/>
  <c r="B172" i="1"/>
  <c r="D172" i="1"/>
  <c r="B173" i="1"/>
  <c r="D173" i="1"/>
  <c r="B174" i="1"/>
  <c r="D174" i="1"/>
  <c r="B175" i="1"/>
  <c r="D175" i="1"/>
  <c r="B176" i="1"/>
  <c r="D176" i="1"/>
  <c r="B177" i="1"/>
  <c r="D177" i="1"/>
  <c r="B178" i="1"/>
  <c r="D178" i="1"/>
  <c r="B179" i="1"/>
  <c r="D179" i="1"/>
  <c r="B180" i="1"/>
  <c r="D180" i="1"/>
  <c r="B181" i="1"/>
  <c r="D181" i="1"/>
  <c r="B182" i="1"/>
  <c r="D182" i="1"/>
  <c r="B183" i="1"/>
  <c r="D183" i="1"/>
  <c r="B184" i="1"/>
  <c r="D184" i="1"/>
  <c r="B185" i="1"/>
  <c r="D185" i="1"/>
  <c r="B186" i="1"/>
  <c r="D186" i="1"/>
  <c r="B187" i="1"/>
  <c r="D187" i="1"/>
  <c r="B188" i="1"/>
  <c r="D188" i="1"/>
  <c r="B189" i="1"/>
  <c r="D189" i="1"/>
  <c r="B190" i="1"/>
  <c r="D190" i="1"/>
  <c r="B191" i="1"/>
  <c r="D191" i="1"/>
  <c r="B192" i="1"/>
  <c r="D192" i="1"/>
  <c r="B193" i="1"/>
  <c r="D193" i="1"/>
  <c r="B194" i="1"/>
  <c r="D194" i="1"/>
  <c r="B195" i="1"/>
  <c r="D195" i="1"/>
  <c r="B196" i="1"/>
  <c r="D196" i="1"/>
  <c r="B197" i="1"/>
  <c r="D197" i="1"/>
  <c r="B198" i="1"/>
  <c r="D198" i="1"/>
  <c r="B199" i="1"/>
  <c r="D199" i="1"/>
  <c r="B200" i="1"/>
  <c r="D200" i="1"/>
  <c r="B201" i="1"/>
  <c r="D201" i="1"/>
  <c r="B202" i="1"/>
  <c r="D202" i="1"/>
  <c r="B203" i="1"/>
  <c r="D203" i="1"/>
  <c r="B204" i="1"/>
  <c r="D204" i="1"/>
  <c r="B205" i="1"/>
  <c r="D205" i="1"/>
  <c r="B206" i="1"/>
  <c r="D206" i="1"/>
  <c r="B207" i="1"/>
  <c r="D207" i="1"/>
  <c r="B208" i="1"/>
  <c r="D208" i="1"/>
  <c r="B209" i="1"/>
  <c r="D209" i="1"/>
  <c r="B210" i="1"/>
  <c r="D210" i="1"/>
  <c r="B211" i="1"/>
  <c r="D211" i="1"/>
  <c r="B212" i="1"/>
  <c r="D212" i="1"/>
  <c r="B213" i="1"/>
  <c r="D213" i="1"/>
  <c r="B214" i="1"/>
  <c r="D214" i="1"/>
  <c r="B215" i="1"/>
  <c r="D215" i="1"/>
  <c r="B216" i="1"/>
  <c r="D216" i="1"/>
  <c r="B217" i="1"/>
  <c r="D217" i="1"/>
  <c r="B218" i="1"/>
  <c r="D218" i="1"/>
  <c r="B219" i="1"/>
  <c r="D219" i="1"/>
  <c r="B220" i="1"/>
  <c r="D220" i="1"/>
  <c r="B221" i="1"/>
  <c r="D221" i="1"/>
  <c r="B222" i="1"/>
  <c r="D222" i="1"/>
  <c r="B223" i="1"/>
  <c r="D223" i="1"/>
  <c r="B224" i="1"/>
  <c r="D224" i="1"/>
  <c r="B225" i="1"/>
  <c r="D225" i="1"/>
  <c r="B226" i="1"/>
  <c r="D226" i="1"/>
  <c r="B227" i="1"/>
  <c r="D227" i="1"/>
  <c r="B228" i="1"/>
  <c r="D228" i="1"/>
  <c r="B229" i="1"/>
  <c r="D229" i="1"/>
  <c r="B230" i="1"/>
  <c r="D230" i="1"/>
  <c r="B231" i="1"/>
  <c r="D231" i="1"/>
  <c r="B232" i="1"/>
  <c r="D232" i="1"/>
  <c r="B233" i="1"/>
  <c r="D233" i="1"/>
  <c r="B234" i="1"/>
  <c r="D234" i="1"/>
  <c r="B235" i="1"/>
  <c r="D235" i="1"/>
  <c r="B236" i="1"/>
  <c r="D236" i="1"/>
  <c r="B237" i="1"/>
  <c r="D237" i="1"/>
  <c r="B238" i="1"/>
  <c r="D238" i="1"/>
  <c r="B239" i="1"/>
  <c r="D239" i="1"/>
  <c r="B240" i="1"/>
  <c r="D240" i="1"/>
  <c r="B241" i="1"/>
  <c r="D241" i="1"/>
  <c r="B242" i="1"/>
  <c r="D242" i="1"/>
  <c r="B243" i="1"/>
  <c r="D243" i="1"/>
  <c r="B244" i="1"/>
  <c r="D244" i="1"/>
  <c r="B245" i="1"/>
  <c r="D245" i="1"/>
  <c r="B246" i="1"/>
  <c r="D246" i="1"/>
  <c r="B247" i="1"/>
  <c r="D247" i="1"/>
  <c r="B248" i="1"/>
  <c r="D248" i="1"/>
  <c r="B249" i="1"/>
  <c r="D249" i="1"/>
  <c r="B250" i="1"/>
  <c r="D250" i="1"/>
  <c r="B251" i="1"/>
  <c r="D251" i="1"/>
  <c r="B252" i="1"/>
  <c r="D252" i="1"/>
  <c r="B253" i="1"/>
  <c r="D253" i="1"/>
  <c r="B254" i="1"/>
  <c r="D254" i="1"/>
  <c r="B255" i="1"/>
  <c r="D255" i="1"/>
  <c r="B4" i="1"/>
  <c r="D4" i="1"/>
  <c r="D3" i="1"/>
  <c r="B3" i="1"/>
  <c r="D2" i="1"/>
  <c r="B2" i="1"/>
</calcChain>
</file>

<file path=xl/sharedStrings.xml><?xml version="1.0" encoding="utf-8"?>
<sst xmlns="http://schemas.openxmlformats.org/spreadsheetml/2006/main" count="268" uniqueCount="14">
  <si>
    <t>FrameID</t>
  </si>
  <si>
    <t>SubframeID</t>
  </si>
  <si>
    <t>SlotID</t>
  </si>
  <si>
    <t>StartPRB</t>
  </si>
  <si>
    <t>ecpriID</t>
  </si>
  <si>
    <t>Vlan</t>
  </si>
  <si>
    <t>VLANStr</t>
  </si>
  <si>
    <t>nPRB</t>
  </si>
  <si>
    <t>StartSymb</t>
  </si>
  <si>
    <t>nSymb</t>
  </si>
  <si>
    <t>ecpriIDstr</t>
  </si>
  <si>
    <t>A0B0</t>
  </si>
  <si>
    <t>Nslot</t>
  </si>
  <si>
    <t>SlotP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</si>
</sst>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NumberFormat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EBC38F-FD1F-429C-A176-93BF0FFF4C32}" name="Tabela1" displayName="Tabela1" ref="A1:M256" totalsRowShown="0">
  <autoFilter ref="A1:M256" xr:uid="{2EEBC38F-FD1F-429C-A176-93BF0FFF4C32}"/>
  <tableColumns count="13">
    <tableColumn id="1" xr3:uid="{81026202-A98D-4130-91E4-DD796D2080A9}" name="VLANStr"/>
    <tableColumn id="2" xr3:uid="{4C99F282-0858-4CBF-ABDE-A7EB0B2153FE}" name="Vlan" dataDxfId="3">
      <calculatedColumnFormula>HEX2DEC(Tabela1[[#This Row],[VLANStr]])</calculatedColumnFormula>
    </tableColumn>
    <tableColumn id="3" xr3:uid="{CE273171-0024-439C-84C9-6AFCA5F4F9A2}" name="ecpriIDstr"/>
    <tableColumn id="4" xr3:uid="{7201C26A-22B5-4BF2-95C8-61D65E4223A2}" name="ecpriID" dataDxfId="2">
      <calculatedColumnFormula>HEX2DEC(Tabela1[[#This Row],[ecpriIDstr]])</calculatedColumnFormula>
    </tableColumn>
    <tableColumn id="5" xr3:uid="{570466E1-C974-49B0-B8CE-D16CB9A62376}" name="FrameID"/>
    <tableColumn id="6" xr3:uid="{599FE480-9ED7-45EF-98D5-6EAFBCB608F1}" name="SubframeID"/>
    <tableColumn id="7" xr3:uid="{0C5FCCEC-B116-44C7-8C2F-61CEF2E26A2A}" name="SlotID"/>
    <tableColumn id="8" xr3:uid="{278407DA-B970-49BB-993F-D2D6F7B19848}" name="StartPRB"/>
    <tableColumn id="9" xr3:uid="{6EBF6960-6C13-4B4F-850D-EBA85BD10559}" name="nPRB"/>
    <tableColumn id="10" xr3:uid="{F3C4A8F1-B438-42B0-BBFD-68DA8FF506B3}" name="StartSymb" dataDxfId="1"/>
    <tableColumn id="11" xr3:uid="{D76FB660-0106-4355-A354-D2B7296E9D77}" name="nSymb" dataDxfId="0"/>
    <tableColumn id="12" xr3:uid="{83B8C1B0-A83B-4272-9529-3E40F42948CE}" name="Nslot"/>
    <tableColumn id="13" xr3:uid="{99953A1B-A4B9-4DFA-A930-5624F5DAA40B}" name="Slot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0B60-870A-4AF8-8477-688E93A5FFE9}">
  <dimension ref="A1:M256"/>
  <sheetViews>
    <sheetView tabSelected="1" zoomScaleNormal="100" workbookViewId="0">
      <selection activeCell="H17" sqref="H17"/>
    </sheetView>
  </sheetViews>
  <sheetFormatPr defaultRowHeight="15" x14ac:dyDescent="0.25"/>
  <cols>
    <col min="1" max="1" width="10.42578125" customWidth="1"/>
    <col min="2" max="2" width="9.140625" hidden="1" customWidth="1"/>
    <col min="3" max="3" width="11.7109375" customWidth="1"/>
    <col min="4" max="4" width="10.28515625" hidden="1" customWidth="1"/>
    <col min="5" max="5" width="10.5703125" customWidth="1"/>
    <col min="6" max="6" width="13.5703125" customWidth="1"/>
    <col min="8" max="8" width="10.7109375" customWidth="1"/>
    <col min="10" max="10" width="12.140625" customWidth="1"/>
  </cols>
  <sheetData>
    <row r="1" spans="1:13" x14ac:dyDescent="0.25">
      <c r="A1" t="s">
        <v>6</v>
      </c>
      <c r="B1" t="s">
        <v>5</v>
      </c>
      <c r="C1" t="s">
        <v>10</v>
      </c>
      <c r="D1" t="s">
        <v>4</v>
      </c>
      <c r="E1" t="s">
        <v>0</v>
      </c>
      <c r="F1" t="s">
        <v>1</v>
      </c>
      <c r="G1" t="s">
        <v>2</v>
      </c>
      <c r="H1" t="s">
        <v>3</v>
      </c>
      <c r="I1" t="s">
        <v>7</v>
      </c>
      <c r="J1" t="s">
        <v>8</v>
      </c>
      <c r="K1" t="s">
        <v>9</v>
      </c>
      <c r="L1" t="s">
        <v>12</v>
      </c>
      <c r="M1" t="s">
        <v>13</v>
      </c>
    </row>
    <row r="2" spans="1:13" x14ac:dyDescent="0.25">
      <c r="A2">
        <v>120</v>
      </c>
      <c r="B2">
        <f>HEX2DEC(Tabela1[[#This Row],[VLANStr]])</f>
        <v>288</v>
      </c>
      <c r="C2" t="s">
        <v>11</v>
      </c>
      <c r="D2">
        <f>HEX2DEC(Tabela1[[#This Row],[ecpriIDstr]])</f>
        <v>41136</v>
      </c>
      <c r="E2">
        <v>0</v>
      </c>
      <c r="F2">
        <v>1</v>
      </c>
      <c r="G2">
        <v>0</v>
      </c>
      <c r="H2">
        <v>0</v>
      </c>
      <c r="I2">
        <v>1</v>
      </c>
      <c r="J2" s="1">
        <v>0</v>
      </c>
      <c r="K2" s="1">
        <v>1</v>
      </c>
      <c r="L2">
        <v>1</v>
      </c>
      <c r="M2">
        <v>1</v>
      </c>
    </row>
    <row r="3" spans="1:13" x14ac:dyDescent="0.25">
      <c r="A3">
        <v>120</v>
      </c>
      <c r="B3" s="2">
        <f>HEX2DEC(Tabela1[[#This Row],[VLANStr]])</f>
        <v>288</v>
      </c>
      <c r="C3" t="s">
        <v>11</v>
      </c>
      <c r="D3" s="2">
        <f>HEX2DEC(Tabela1[[#This Row],[ecpriIDstr]])</f>
        <v>41136</v>
      </c>
      <c r="E3">
        <v>0</v>
      </c>
      <c r="F3">
        <v>2</v>
      </c>
      <c r="G3">
        <v>0</v>
      </c>
      <c r="H3">
        <v>0</v>
      </c>
      <c r="I3">
        <v>2</v>
      </c>
      <c r="J3" s="1">
        <v>0</v>
      </c>
      <c r="K3" s="1">
        <v>1</v>
      </c>
      <c r="L3">
        <v>1</v>
      </c>
      <c r="M3">
        <v>1</v>
      </c>
    </row>
    <row r="4" spans="1:13" x14ac:dyDescent="0.25">
      <c r="A4">
        <v>120</v>
      </c>
      <c r="B4">
        <f>HEX2DEC(Tabela1[[#This Row],[VLANStr]])</f>
        <v>288</v>
      </c>
      <c r="C4" t="s">
        <v>11</v>
      </c>
      <c r="D4">
        <f>HEX2DEC(Tabela1[[#This Row],[ecpriIDstr]])</f>
        <v>41136</v>
      </c>
      <c r="E4">
        <v>0</v>
      </c>
      <c r="F4">
        <v>3</v>
      </c>
      <c r="G4">
        <v>0</v>
      </c>
      <c r="H4">
        <v>0</v>
      </c>
      <c r="I4">
        <v>3</v>
      </c>
      <c r="J4" s="1">
        <v>0</v>
      </c>
      <c r="K4" s="1">
        <v>1</v>
      </c>
      <c r="L4">
        <v>1</v>
      </c>
      <c r="M4">
        <v>1</v>
      </c>
    </row>
    <row r="5" spans="1:13" x14ac:dyDescent="0.25">
      <c r="A5">
        <v>120</v>
      </c>
      <c r="B5">
        <f>HEX2DEC(Tabela1[[#This Row],[VLANStr]])</f>
        <v>288</v>
      </c>
      <c r="C5" t="s">
        <v>11</v>
      </c>
      <c r="D5">
        <f>HEX2DEC(Tabela1[[#This Row],[ecpriIDstr]])</f>
        <v>41136</v>
      </c>
      <c r="E5">
        <v>0</v>
      </c>
      <c r="F5">
        <v>4</v>
      </c>
      <c r="G5">
        <v>0</v>
      </c>
      <c r="H5">
        <v>0</v>
      </c>
      <c r="I5">
        <v>4</v>
      </c>
      <c r="J5" s="1">
        <v>0</v>
      </c>
      <c r="K5" s="1">
        <v>1</v>
      </c>
      <c r="L5">
        <v>1</v>
      </c>
      <c r="M5">
        <v>1</v>
      </c>
    </row>
    <row r="6" spans="1:13" x14ac:dyDescent="0.25">
      <c r="A6">
        <v>120</v>
      </c>
      <c r="B6" s="2">
        <f>HEX2DEC(Tabela1[[#This Row],[VLANStr]])</f>
        <v>288</v>
      </c>
      <c r="C6" t="s">
        <v>11</v>
      </c>
      <c r="D6" s="2">
        <f>HEX2DEC(Tabela1[[#This Row],[ecpriIDstr]])</f>
        <v>41136</v>
      </c>
      <c r="E6">
        <v>0</v>
      </c>
      <c r="F6">
        <v>5</v>
      </c>
      <c r="G6">
        <v>0</v>
      </c>
      <c r="H6">
        <v>0</v>
      </c>
      <c r="I6">
        <v>5</v>
      </c>
      <c r="J6" s="1">
        <v>0</v>
      </c>
      <c r="K6" s="1">
        <v>1</v>
      </c>
      <c r="L6">
        <v>1</v>
      </c>
      <c r="M6">
        <v>1</v>
      </c>
    </row>
    <row r="7" spans="1:13" x14ac:dyDescent="0.25">
      <c r="A7">
        <v>120</v>
      </c>
      <c r="B7">
        <f>HEX2DEC(Tabela1[[#This Row],[VLANStr]])</f>
        <v>288</v>
      </c>
      <c r="C7" t="s">
        <v>11</v>
      </c>
      <c r="D7">
        <f>HEX2DEC(Tabela1[[#This Row],[ecpriIDstr]])</f>
        <v>41136</v>
      </c>
      <c r="E7">
        <v>0</v>
      </c>
      <c r="F7">
        <v>6</v>
      </c>
      <c r="G7">
        <v>0</v>
      </c>
      <c r="H7">
        <v>0</v>
      </c>
      <c r="I7">
        <v>6</v>
      </c>
      <c r="J7" s="1">
        <v>0</v>
      </c>
      <c r="K7" s="1">
        <v>1</v>
      </c>
      <c r="L7">
        <v>1</v>
      </c>
      <c r="M7">
        <v>1</v>
      </c>
    </row>
    <row r="8" spans="1:13" x14ac:dyDescent="0.25">
      <c r="A8">
        <v>120</v>
      </c>
      <c r="B8">
        <f>HEX2DEC(Tabela1[[#This Row],[VLANStr]])</f>
        <v>288</v>
      </c>
      <c r="C8" t="s">
        <v>11</v>
      </c>
      <c r="D8">
        <f>HEX2DEC(Tabela1[[#This Row],[ecpriIDstr]])</f>
        <v>41136</v>
      </c>
      <c r="E8">
        <v>0</v>
      </c>
      <c r="F8">
        <v>7</v>
      </c>
      <c r="G8">
        <v>0</v>
      </c>
      <c r="H8">
        <v>0</v>
      </c>
      <c r="I8">
        <v>7</v>
      </c>
      <c r="J8" s="1">
        <v>0</v>
      </c>
      <c r="K8" s="1">
        <v>1</v>
      </c>
      <c r="L8">
        <v>1</v>
      </c>
      <c r="M8">
        <v>1</v>
      </c>
    </row>
    <row r="9" spans="1:13" x14ac:dyDescent="0.25">
      <c r="A9">
        <v>120</v>
      </c>
      <c r="B9" s="2">
        <f>HEX2DEC(Tabela1[[#This Row],[VLANStr]])</f>
        <v>288</v>
      </c>
      <c r="C9" t="s">
        <v>11</v>
      </c>
      <c r="D9" s="2">
        <f>HEX2DEC(Tabela1[[#This Row],[ecpriIDstr]])</f>
        <v>41136</v>
      </c>
      <c r="E9">
        <v>0</v>
      </c>
      <c r="F9">
        <v>8</v>
      </c>
      <c r="G9">
        <v>0</v>
      </c>
      <c r="H9">
        <v>0</v>
      </c>
      <c r="I9">
        <v>8</v>
      </c>
      <c r="J9" s="1">
        <v>0</v>
      </c>
      <c r="K9" s="1">
        <v>1</v>
      </c>
      <c r="L9">
        <v>1</v>
      </c>
      <c r="M9">
        <v>1</v>
      </c>
    </row>
    <row r="10" spans="1:13" x14ac:dyDescent="0.25">
      <c r="A10">
        <v>120</v>
      </c>
      <c r="B10">
        <f>HEX2DEC(Tabela1[[#This Row],[VLANStr]])</f>
        <v>288</v>
      </c>
      <c r="C10" t="s">
        <v>11</v>
      </c>
      <c r="D10">
        <f>HEX2DEC(Tabela1[[#This Row],[ecpriIDstr]])</f>
        <v>41136</v>
      </c>
      <c r="E10">
        <v>0</v>
      </c>
      <c r="F10">
        <v>9</v>
      </c>
      <c r="G10">
        <v>0</v>
      </c>
      <c r="H10">
        <v>0</v>
      </c>
      <c r="I10">
        <v>9</v>
      </c>
      <c r="J10" s="1">
        <v>0</v>
      </c>
      <c r="K10" s="1">
        <v>1</v>
      </c>
      <c r="L10">
        <v>1</v>
      </c>
      <c r="M10">
        <v>1</v>
      </c>
    </row>
    <row r="11" spans="1:13" x14ac:dyDescent="0.25">
      <c r="A11">
        <v>120</v>
      </c>
      <c r="B11">
        <f>HEX2DEC(Tabela1[[#This Row],[VLANStr]])</f>
        <v>288</v>
      </c>
      <c r="C11" t="s">
        <v>11</v>
      </c>
      <c r="D11">
        <f>HEX2DEC(Tabela1[[#This Row],[ecpriIDstr]])</f>
        <v>41136</v>
      </c>
      <c r="E11">
        <v>0</v>
      </c>
      <c r="F11">
        <v>10</v>
      </c>
      <c r="G11">
        <v>0</v>
      </c>
      <c r="H11">
        <v>0</v>
      </c>
      <c r="I11">
        <v>10</v>
      </c>
      <c r="J11" s="1">
        <v>0</v>
      </c>
      <c r="K11" s="1">
        <v>1</v>
      </c>
      <c r="L11">
        <v>1</v>
      </c>
      <c r="M11">
        <v>1</v>
      </c>
    </row>
    <row r="12" spans="1:13" x14ac:dyDescent="0.25">
      <c r="A12">
        <v>120</v>
      </c>
      <c r="B12" s="2">
        <f>HEX2DEC(Tabela1[[#This Row],[VLANStr]])</f>
        <v>288</v>
      </c>
      <c r="C12" t="s">
        <v>11</v>
      </c>
      <c r="D12" s="2">
        <f>HEX2DEC(Tabela1[[#This Row],[ecpriIDstr]])</f>
        <v>41136</v>
      </c>
      <c r="E12">
        <v>0</v>
      </c>
      <c r="F12">
        <v>11</v>
      </c>
      <c r="G12">
        <v>0</v>
      </c>
      <c r="H12">
        <v>0</v>
      </c>
      <c r="I12">
        <v>11</v>
      </c>
      <c r="J12" s="1">
        <v>0</v>
      </c>
      <c r="K12" s="1">
        <v>1</v>
      </c>
      <c r="L12">
        <v>1</v>
      </c>
      <c r="M12">
        <v>1</v>
      </c>
    </row>
    <row r="13" spans="1:13" x14ac:dyDescent="0.25">
      <c r="A13">
        <v>120</v>
      </c>
      <c r="B13">
        <f>HEX2DEC(Tabela1[[#This Row],[VLANStr]])</f>
        <v>288</v>
      </c>
      <c r="C13" t="s">
        <v>11</v>
      </c>
      <c r="D13">
        <f>HEX2DEC(Tabela1[[#This Row],[ecpriIDstr]])</f>
        <v>41136</v>
      </c>
      <c r="E13">
        <v>0</v>
      </c>
      <c r="F13">
        <v>12</v>
      </c>
      <c r="G13">
        <v>0</v>
      </c>
      <c r="H13">
        <v>0</v>
      </c>
      <c r="I13">
        <v>12</v>
      </c>
      <c r="J13" s="1">
        <v>0</v>
      </c>
      <c r="K13" s="1">
        <v>1</v>
      </c>
      <c r="L13">
        <v>1</v>
      </c>
      <c r="M13">
        <v>1</v>
      </c>
    </row>
    <row r="14" spans="1:13" x14ac:dyDescent="0.25">
      <c r="A14">
        <v>120</v>
      </c>
      <c r="B14">
        <f>HEX2DEC(Tabela1[[#This Row],[VLANStr]])</f>
        <v>288</v>
      </c>
      <c r="C14" t="s">
        <v>11</v>
      </c>
      <c r="D14">
        <f>HEX2DEC(Tabela1[[#This Row],[ecpriIDstr]])</f>
        <v>41136</v>
      </c>
      <c r="E14">
        <v>0</v>
      </c>
      <c r="F14">
        <v>13</v>
      </c>
      <c r="G14">
        <v>0</v>
      </c>
      <c r="H14">
        <v>0</v>
      </c>
      <c r="I14">
        <v>13</v>
      </c>
      <c r="J14" s="1">
        <v>0</v>
      </c>
      <c r="K14" s="1">
        <v>1</v>
      </c>
      <c r="L14">
        <v>1</v>
      </c>
      <c r="M14">
        <v>1</v>
      </c>
    </row>
    <row r="15" spans="1:13" x14ac:dyDescent="0.25">
      <c r="A15">
        <v>120</v>
      </c>
      <c r="B15" s="2">
        <f>HEX2DEC(Tabela1[[#This Row],[VLANStr]])</f>
        <v>288</v>
      </c>
      <c r="C15" t="s">
        <v>11</v>
      </c>
      <c r="D15" s="2">
        <f>HEX2DEC(Tabela1[[#This Row],[ecpriIDstr]])</f>
        <v>41136</v>
      </c>
      <c r="E15">
        <v>0</v>
      </c>
      <c r="F15">
        <v>14</v>
      </c>
      <c r="G15">
        <v>0</v>
      </c>
      <c r="H15">
        <v>0</v>
      </c>
      <c r="I15">
        <v>14</v>
      </c>
      <c r="J15" s="1">
        <v>0</v>
      </c>
      <c r="K15" s="1">
        <v>1</v>
      </c>
      <c r="L15">
        <v>1</v>
      </c>
      <c r="M15">
        <v>1</v>
      </c>
    </row>
    <row r="16" spans="1:13" x14ac:dyDescent="0.25">
      <c r="A16">
        <v>120</v>
      </c>
      <c r="B16">
        <f>HEX2DEC(Tabela1[[#This Row],[VLANStr]])</f>
        <v>288</v>
      </c>
      <c r="C16" t="s">
        <v>11</v>
      </c>
      <c r="D16">
        <f>HEX2DEC(Tabela1[[#This Row],[ecpriIDstr]])</f>
        <v>41136</v>
      </c>
      <c r="E16">
        <v>0</v>
      </c>
      <c r="F16">
        <v>15</v>
      </c>
      <c r="G16">
        <v>0</v>
      </c>
      <c r="H16">
        <v>0</v>
      </c>
      <c r="I16">
        <v>15</v>
      </c>
      <c r="J16" s="1">
        <v>0</v>
      </c>
      <c r="K16" s="1">
        <v>1</v>
      </c>
      <c r="L16">
        <v>1</v>
      </c>
      <c r="M16">
        <v>1</v>
      </c>
    </row>
    <row r="17" spans="1:13" x14ac:dyDescent="0.25">
      <c r="A17">
        <v>120</v>
      </c>
      <c r="B17">
        <f>HEX2DEC(Tabela1[[#This Row],[VLANStr]])</f>
        <v>288</v>
      </c>
      <c r="C17" t="s">
        <v>11</v>
      </c>
      <c r="D17">
        <f>HEX2DEC(Tabela1[[#This Row],[ecpriIDstr]])</f>
        <v>41136</v>
      </c>
      <c r="E17">
        <v>1</v>
      </c>
      <c r="F17">
        <v>0</v>
      </c>
      <c r="G17">
        <v>0</v>
      </c>
      <c r="H17">
        <v>0</v>
      </c>
      <c r="I17">
        <v>16</v>
      </c>
      <c r="J17" s="1">
        <v>0</v>
      </c>
      <c r="K17" s="1">
        <v>1</v>
      </c>
      <c r="L17">
        <v>1</v>
      </c>
      <c r="M17">
        <v>1</v>
      </c>
    </row>
    <row r="18" spans="1:13" x14ac:dyDescent="0.25">
      <c r="A18">
        <v>120</v>
      </c>
      <c r="B18" s="2">
        <f>HEX2DEC(Tabela1[[#This Row],[VLANStr]])</f>
        <v>288</v>
      </c>
      <c r="C18" t="s">
        <v>11</v>
      </c>
      <c r="D18" s="2">
        <f>HEX2DEC(Tabela1[[#This Row],[ecpriIDstr]])</f>
        <v>41136</v>
      </c>
      <c r="E18">
        <v>1</v>
      </c>
      <c r="F18">
        <v>1</v>
      </c>
      <c r="G18">
        <v>0</v>
      </c>
      <c r="H18">
        <v>0</v>
      </c>
      <c r="I18">
        <v>17</v>
      </c>
      <c r="J18" s="1">
        <v>0</v>
      </c>
      <c r="K18" s="1">
        <v>1</v>
      </c>
      <c r="L18">
        <v>1</v>
      </c>
      <c r="M18">
        <v>1</v>
      </c>
    </row>
    <row r="19" spans="1:13" x14ac:dyDescent="0.25">
      <c r="A19">
        <v>120</v>
      </c>
      <c r="B19">
        <f>HEX2DEC(Tabela1[[#This Row],[VLANStr]])</f>
        <v>288</v>
      </c>
      <c r="C19" t="s">
        <v>11</v>
      </c>
      <c r="D19">
        <f>HEX2DEC(Tabela1[[#This Row],[ecpriIDstr]])</f>
        <v>41136</v>
      </c>
      <c r="E19">
        <v>1</v>
      </c>
      <c r="F19">
        <v>2</v>
      </c>
      <c r="G19">
        <v>0</v>
      </c>
      <c r="H19">
        <v>0</v>
      </c>
      <c r="I19">
        <v>18</v>
      </c>
      <c r="J19" s="1">
        <v>0</v>
      </c>
      <c r="K19" s="1">
        <v>1</v>
      </c>
      <c r="L19">
        <v>1</v>
      </c>
      <c r="M19">
        <v>1</v>
      </c>
    </row>
    <row r="20" spans="1:13" x14ac:dyDescent="0.25">
      <c r="A20">
        <v>120</v>
      </c>
      <c r="B20">
        <f>HEX2DEC(Tabela1[[#This Row],[VLANStr]])</f>
        <v>288</v>
      </c>
      <c r="C20" t="s">
        <v>11</v>
      </c>
      <c r="D20">
        <f>HEX2DEC(Tabela1[[#This Row],[ecpriIDstr]])</f>
        <v>41136</v>
      </c>
      <c r="E20">
        <v>1</v>
      </c>
      <c r="F20">
        <v>3</v>
      </c>
      <c r="G20">
        <v>0</v>
      </c>
      <c r="H20">
        <v>0</v>
      </c>
      <c r="I20">
        <v>19</v>
      </c>
      <c r="J20" s="1">
        <v>0</v>
      </c>
      <c r="K20" s="1">
        <v>1</v>
      </c>
      <c r="L20">
        <v>1</v>
      </c>
      <c r="M20">
        <v>1</v>
      </c>
    </row>
    <row r="21" spans="1:13" x14ac:dyDescent="0.25">
      <c r="A21">
        <v>120</v>
      </c>
      <c r="B21" s="2">
        <f>HEX2DEC(Tabela1[[#This Row],[VLANStr]])</f>
        <v>288</v>
      </c>
      <c r="C21" t="s">
        <v>11</v>
      </c>
      <c r="D21" s="2">
        <f>HEX2DEC(Tabela1[[#This Row],[ecpriIDstr]])</f>
        <v>41136</v>
      </c>
      <c r="E21">
        <v>1</v>
      </c>
      <c r="F21">
        <v>4</v>
      </c>
      <c r="G21">
        <v>0</v>
      </c>
      <c r="H21">
        <v>0</v>
      </c>
      <c r="I21">
        <v>20</v>
      </c>
      <c r="J21" s="1">
        <v>0</v>
      </c>
      <c r="K21" s="1">
        <v>1</v>
      </c>
      <c r="L21">
        <v>1</v>
      </c>
      <c r="M21">
        <v>1</v>
      </c>
    </row>
    <row r="22" spans="1:13" x14ac:dyDescent="0.25">
      <c r="A22">
        <v>120</v>
      </c>
      <c r="B22">
        <f>HEX2DEC(Tabela1[[#This Row],[VLANStr]])</f>
        <v>288</v>
      </c>
      <c r="C22" t="s">
        <v>11</v>
      </c>
      <c r="D22">
        <f>HEX2DEC(Tabela1[[#This Row],[ecpriIDstr]])</f>
        <v>41136</v>
      </c>
      <c r="E22">
        <v>1</v>
      </c>
      <c r="F22">
        <v>5</v>
      </c>
      <c r="G22">
        <v>0</v>
      </c>
      <c r="H22">
        <v>0</v>
      </c>
      <c r="I22">
        <v>21</v>
      </c>
      <c r="J22" s="1">
        <v>0</v>
      </c>
      <c r="K22" s="1">
        <v>1</v>
      </c>
      <c r="L22">
        <v>1</v>
      </c>
      <c r="M22">
        <v>1</v>
      </c>
    </row>
    <row r="23" spans="1:13" x14ac:dyDescent="0.25">
      <c r="A23">
        <v>120</v>
      </c>
      <c r="B23">
        <f>HEX2DEC(Tabela1[[#This Row],[VLANStr]])</f>
        <v>288</v>
      </c>
      <c r="C23" t="s">
        <v>11</v>
      </c>
      <c r="D23">
        <f>HEX2DEC(Tabela1[[#This Row],[ecpriIDstr]])</f>
        <v>41136</v>
      </c>
      <c r="E23">
        <v>1</v>
      </c>
      <c r="F23">
        <v>6</v>
      </c>
      <c r="G23">
        <v>0</v>
      </c>
      <c r="H23">
        <v>0</v>
      </c>
      <c r="I23">
        <v>22</v>
      </c>
      <c r="J23" s="1">
        <v>0</v>
      </c>
      <c r="K23" s="1">
        <v>1</v>
      </c>
      <c r="L23">
        <v>1</v>
      </c>
      <c r="M23">
        <v>1</v>
      </c>
    </row>
    <row r="24" spans="1:13" x14ac:dyDescent="0.25">
      <c r="A24">
        <v>120</v>
      </c>
      <c r="B24" s="2">
        <f>HEX2DEC(Tabela1[[#This Row],[VLANStr]])</f>
        <v>288</v>
      </c>
      <c r="C24" t="s">
        <v>11</v>
      </c>
      <c r="D24" s="2">
        <f>HEX2DEC(Tabela1[[#This Row],[ecpriIDstr]])</f>
        <v>41136</v>
      </c>
      <c r="E24">
        <v>1</v>
      </c>
      <c r="F24">
        <v>7</v>
      </c>
      <c r="G24">
        <v>0</v>
      </c>
      <c r="H24">
        <v>0</v>
      </c>
      <c r="I24">
        <v>23</v>
      </c>
      <c r="J24" s="1">
        <v>0</v>
      </c>
      <c r="K24" s="1">
        <v>1</v>
      </c>
      <c r="L24">
        <v>1</v>
      </c>
      <c r="M24">
        <v>1</v>
      </c>
    </row>
    <row r="25" spans="1:13" x14ac:dyDescent="0.25">
      <c r="A25">
        <v>120</v>
      </c>
      <c r="B25">
        <f>HEX2DEC(Tabela1[[#This Row],[VLANStr]])</f>
        <v>288</v>
      </c>
      <c r="C25" t="s">
        <v>11</v>
      </c>
      <c r="D25">
        <f>HEX2DEC(Tabela1[[#This Row],[ecpriIDstr]])</f>
        <v>41136</v>
      </c>
      <c r="E25">
        <v>1</v>
      </c>
      <c r="F25">
        <v>8</v>
      </c>
      <c r="G25">
        <v>0</v>
      </c>
      <c r="H25">
        <v>0</v>
      </c>
      <c r="I25">
        <v>24</v>
      </c>
      <c r="J25" s="1">
        <v>0</v>
      </c>
      <c r="K25" s="1">
        <v>1</v>
      </c>
      <c r="L25">
        <v>1</v>
      </c>
      <c r="M25">
        <v>1</v>
      </c>
    </row>
    <row r="26" spans="1:13" x14ac:dyDescent="0.25">
      <c r="A26">
        <v>120</v>
      </c>
      <c r="B26">
        <f>HEX2DEC(Tabela1[[#This Row],[VLANStr]])</f>
        <v>288</v>
      </c>
      <c r="C26" t="s">
        <v>11</v>
      </c>
      <c r="D26">
        <f>HEX2DEC(Tabela1[[#This Row],[ecpriIDstr]])</f>
        <v>41136</v>
      </c>
      <c r="E26">
        <v>1</v>
      </c>
      <c r="F26">
        <v>9</v>
      </c>
      <c r="G26">
        <v>0</v>
      </c>
      <c r="H26">
        <v>0</v>
      </c>
      <c r="I26">
        <v>25</v>
      </c>
      <c r="J26" s="1">
        <v>0</v>
      </c>
      <c r="K26" s="1">
        <v>1</v>
      </c>
      <c r="L26">
        <v>1</v>
      </c>
      <c r="M26">
        <v>1</v>
      </c>
    </row>
    <row r="27" spans="1:13" x14ac:dyDescent="0.25">
      <c r="A27">
        <v>120</v>
      </c>
      <c r="B27" s="2">
        <f>HEX2DEC(Tabela1[[#This Row],[VLANStr]])</f>
        <v>288</v>
      </c>
      <c r="C27" t="s">
        <v>11</v>
      </c>
      <c r="D27" s="2">
        <f>HEX2DEC(Tabela1[[#This Row],[ecpriIDstr]])</f>
        <v>41136</v>
      </c>
      <c r="E27">
        <v>1</v>
      </c>
      <c r="F27">
        <v>10</v>
      </c>
      <c r="G27">
        <v>0</v>
      </c>
      <c r="H27">
        <v>0</v>
      </c>
      <c r="I27">
        <v>26</v>
      </c>
      <c r="J27" s="1">
        <v>0</v>
      </c>
      <c r="K27" s="1">
        <v>1</v>
      </c>
      <c r="L27">
        <v>1</v>
      </c>
      <c r="M27">
        <v>1</v>
      </c>
    </row>
    <row r="28" spans="1:13" x14ac:dyDescent="0.25">
      <c r="A28">
        <v>120</v>
      </c>
      <c r="B28">
        <f>HEX2DEC(Tabela1[[#This Row],[VLANStr]])</f>
        <v>288</v>
      </c>
      <c r="C28" t="s">
        <v>11</v>
      </c>
      <c r="D28">
        <f>HEX2DEC(Tabela1[[#This Row],[ecpriIDstr]])</f>
        <v>41136</v>
      </c>
      <c r="E28">
        <v>1</v>
      </c>
      <c r="F28">
        <v>11</v>
      </c>
      <c r="G28">
        <v>0</v>
      </c>
      <c r="H28">
        <v>0</v>
      </c>
      <c r="I28">
        <v>27</v>
      </c>
      <c r="J28" s="1">
        <v>0</v>
      </c>
      <c r="K28" s="1">
        <v>1</v>
      </c>
      <c r="L28">
        <v>1</v>
      </c>
      <c r="M28">
        <v>1</v>
      </c>
    </row>
    <row r="29" spans="1:13" x14ac:dyDescent="0.25">
      <c r="A29">
        <v>120</v>
      </c>
      <c r="B29">
        <f>HEX2DEC(Tabela1[[#This Row],[VLANStr]])</f>
        <v>288</v>
      </c>
      <c r="C29" t="s">
        <v>11</v>
      </c>
      <c r="D29">
        <f>HEX2DEC(Tabela1[[#This Row],[ecpriIDstr]])</f>
        <v>41136</v>
      </c>
      <c r="E29">
        <v>1</v>
      </c>
      <c r="F29">
        <v>12</v>
      </c>
      <c r="G29">
        <v>0</v>
      </c>
      <c r="H29">
        <v>0</v>
      </c>
      <c r="I29">
        <v>28</v>
      </c>
      <c r="J29" s="1">
        <v>0</v>
      </c>
      <c r="K29" s="1">
        <v>1</v>
      </c>
      <c r="L29">
        <v>1</v>
      </c>
      <c r="M29">
        <v>1</v>
      </c>
    </row>
    <row r="30" spans="1:13" x14ac:dyDescent="0.25">
      <c r="A30">
        <v>120</v>
      </c>
      <c r="B30" s="2">
        <f>HEX2DEC(Tabela1[[#This Row],[VLANStr]])</f>
        <v>288</v>
      </c>
      <c r="C30" t="s">
        <v>11</v>
      </c>
      <c r="D30" s="2">
        <f>HEX2DEC(Tabela1[[#This Row],[ecpriIDstr]])</f>
        <v>41136</v>
      </c>
      <c r="E30">
        <v>1</v>
      </c>
      <c r="F30">
        <v>13</v>
      </c>
      <c r="G30">
        <v>0</v>
      </c>
      <c r="H30">
        <v>0</v>
      </c>
      <c r="I30">
        <v>29</v>
      </c>
      <c r="J30" s="1">
        <v>0</v>
      </c>
      <c r="K30" s="1">
        <v>1</v>
      </c>
      <c r="L30">
        <v>1</v>
      </c>
      <c r="M30">
        <v>1</v>
      </c>
    </row>
    <row r="31" spans="1:13" x14ac:dyDescent="0.25">
      <c r="A31">
        <v>120</v>
      </c>
      <c r="B31">
        <f>HEX2DEC(Tabela1[[#This Row],[VLANStr]])</f>
        <v>288</v>
      </c>
      <c r="C31" t="s">
        <v>11</v>
      </c>
      <c r="D31">
        <f>HEX2DEC(Tabela1[[#This Row],[ecpriIDstr]])</f>
        <v>41136</v>
      </c>
      <c r="E31">
        <v>1</v>
      </c>
      <c r="F31">
        <v>14</v>
      </c>
      <c r="G31">
        <v>0</v>
      </c>
      <c r="H31">
        <v>0</v>
      </c>
      <c r="I31">
        <v>30</v>
      </c>
      <c r="J31" s="1">
        <v>0</v>
      </c>
      <c r="K31" s="1">
        <v>1</v>
      </c>
      <c r="L31">
        <v>1</v>
      </c>
      <c r="M31">
        <v>1</v>
      </c>
    </row>
    <row r="32" spans="1:13" x14ac:dyDescent="0.25">
      <c r="A32">
        <v>120</v>
      </c>
      <c r="B32">
        <f>HEX2DEC(Tabela1[[#This Row],[VLANStr]])</f>
        <v>288</v>
      </c>
      <c r="C32" t="s">
        <v>11</v>
      </c>
      <c r="D32">
        <f>HEX2DEC(Tabela1[[#This Row],[ecpriIDstr]])</f>
        <v>41136</v>
      </c>
      <c r="E32">
        <v>1</v>
      </c>
      <c r="F32">
        <v>15</v>
      </c>
      <c r="G32">
        <v>0</v>
      </c>
      <c r="H32">
        <v>0</v>
      </c>
      <c r="I32">
        <v>31</v>
      </c>
      <c r="J32" s="1">
        <v>0</v>
      </c>
      <c r="K32" s="1">
        <v>1</v>
      </c>
      <c r="L32">
        <v>1</v>
      </c>
      <c r="M32">
        <v>1</v>
      </c>
    </row>
    <row r="33" spans="1:13" x14ac:dyDescent="0.25">
      <c r="A33">
        <v>120</v>
      </c>
      <c r="B33" s="2">
        <f>HEX2DEC(Tabela1[[#This Row],[VLANStr]])</f>
        <v>288</v>
      </c>
      <c r="C33" t="s">
        <v>11</v>
      </c>
      <c r="D33" s="2">
        <f>HEX2DEC(Tabela1[[#This Row],[ecpriIDstr]])</f>
        <v>41136</v>
      </c>
      <c r="E33">
        <v>2</v>
      </c>
      <c r="F33">
        <v>0</v>
      </c>
      <c r="G33">
        <v>0</v>
      </c>
      <c r="H33">
        <v>0</v>
      </c>
      <c r="I33">
        <v>32</v>
      </c>
      <c r="J33" s="1">
        <v>0</v>
      </c>
      <c r="K33" s="1">
        <v>1</v>
      </c>
      <c r="L33">
        <v>1</v>
      </c>
      <c r="M33">
        <v>1</v>
      </c>
    </row>
    <row r="34" spans="1:13" x14ac:dyDescent="0.25">
      <c r="A34">
        <v>120</v>
      </c>
      <c r="B34">
        <f>HEX2DEC(Tabela1[[#This Row],[VLANStr]])</f>
        <v>288</v>
      </c>
      <c r="C34" t="s">
        <v>11</v>
      </c>
      <c r="D34">
        <f>HEX2DEC(Tabela1[[#This Row],[ecpriIDstr]])</f>
        <v>41136</v>
      </c>
      <c r="E34">
        <v>2</v>
      </c>
      <c r="F34">
        <v>1</v>
      </c>
      <c r="G34">
        <v>0</v>
      </c>
      <c r="H34">
        <v>0</v>
      </c>
      <c r="I34">
        <v>33</v>
      </c>
      <c r="J34" s="1">
        <v>0</v>
      </c>
      <c r="K34" s="1">
        <v>1</v>
      </c>
      <c r="L34">
        <v>1</v>
      </c>
      <c r="M34">
        <v>1</v>
      </c>
    </row>
    <row r="35" spans="1:13" x14ac:dyDescent="0.25">
      <c r="A35">
        <v>120</v>
      </c>
      <c r="B35">
        <f>HEX2DEC(Tabela1[[#This Row],[VLANStr]])</f>
        <v>288</v>
      </c>
      <c r="C35" t="s">
        <v>11</v>
      </c>
      <c r="D35">
        <f>HEX2DEC(Tabela1[[#This Row],[ecpriIDstr]])</f>
        <v>41136</v>
      </c>
      <c r="E35">
        <v>2</v>
      </c>
      <c r="F35">
        <v>2</v>
      </c>
      <c r="G35">
        <v>0</v>
      </c>
      <c r="H35">
        <v>0</v>
      </c>
      <c r="I35">
        <v>34</v>
      </c>
      <c r="J35" s="1">
        <v>0</v>
      </c>
      <c r="K35" s="1">
        <v>1</v>
      </c>
      <c r="L35">
        <v>1</v>
      </c>
      <c r="M35">
        <v>1</v>
      </c>
    </row>
    <row r="36" spans="1:13" x14ac:dyDescent="0.25">
      <c r="A36">
        <v>120</v>
      </c>
      <c r="B36" s="2">
        <f>HEX2DEC(Tabela1[[#This Row],[VLANStr]])</f>
        <v>288</v>
      </c>
      <c r="C36" t="s">
        <v>11</v>
      </c>
      <c r="D36" s="2">
        <f>HEX2DEC(Tabela1[[#This Row],[ecpriIDstr]])</f>
        <v>41136</v>
      </c>
      <c r="E36">
        <v>2</v>
      </c>
      <c r="F36">
        <v>3</v>
      </c>
      <c r="G36">
        <v>0</v>
      </c>
      <c r="H36">
        <v>0</v>
      </c>
      <c r="I36">
        <v>35</v>
      </c>
      <c r="J36" s="1">
        <v>0</v>
      </c>
      <c r="K36" s="1">
        <v>1</v>
      </c>
      <c r="L36">
        <v>1</v>
      </c>
      <c r="M36">
        <v>1</v>
      </c>
    </row>
    <row r="37" spans="1:13" x14ac:dyDescent="0.25">
      <c r="A37">
        <v>120</v>
      </c>
      <c r="B37">
        <f>HEX2DEC(Tabela1[[#This Row],[VLANStr]])</f>
        <v>288</v>
      </c>
      <c r="C37" t="s">
        <v>11</v>
      </c>
      <c r="D37">
        <f>HEX2DEC(Tabela1[[#This Row],[ecpriIDstr]])</f>
        <v>41136</v>
      </c>
      <c r="E37">
        <v>2</v>
      </c>
      <c r="F37">
        <v>4</v>
      </c>
      <c r="G37">
        <v>0</v>
      </c>
      <c r="H37">
        <v>0</v>
      </c>
      <c r="I37">
        <v>36</v>
      </c>
      <c r="J37" s="1">
        <v>0</v>
      </c>
      <c r="K37" s="1">
        <v>1</v>
      </c>
      <c r="L37">
        <v>1</v>
      </c>
      <c r="M37">
        <v>1</v>
      </c>
    </row>
    <row r="38" spans="1:13" x14ac:dyDescent="0.25">
      <c r="A38">
        <v>120</v>
      </c>
      <c r="B38">
        <f>HEX2DEC(Tabela1[[#This Row],[VLANStr]])</f>
        <v>288</v>
      </c>
      <c r="C38" t="s">
        <v>11</v>
      </c>
      <c r="D38">
        <f>HEX2DEC(Tabela1[[#This Row],[ecpriIDstr]])</f>
        <v>41136</v>
      </c>
      <c r="E38">
        <v>2</v>
      </c>
      <c r="F38">
        <v>5</v>
      </c>
      <c r="G38">
        <v>0</v>
      </c>
      <c r="H38">
        <v>0</v>
      </c>
      <c r="I38">
        <v>37</v>
      </c>
      <c r="J38" s="1">
        <v>0</v>
      </c>
      <c r="K38" s="1">
        <v>1</v>
      </c>
      <c r="L38">
        <v>1</v>
      </c>
      <c r="M38">
        <v>1</v>
      </c>
    </row>
    <row r="39" spans="1:13" x14ac:dyDescent="0.25">
      <c r="A39">
        <v>120</v>
      </c>
      <c r="B39" s="2">
        <f>HEX2DEC(Tabela1[[#This Row],[VLANStr]])</f>
        <v>288</v>
      </c>
      <c r="C39" t="s">
        <v>11</v>
      </c>
      <c r="D39" s="2">
        <f>HEX2DEC(Tabela1[[#This Row],[ecpriIDstr]])</f>
        <v>41136</v>
      </c>
      <c r="E39">
        <v>2</v>
      </c>
      <c r="F39">
        <v>6</v>
      </c>
      <c r="G39">
        <v>0</v>
      </c>
      <c r="H39">
        <v>0</v>
      </c>
      <c r="I39">
        <v>38</v>
      </c>
      <c r="J39" s="1">
        <v>0</v>
      </c>
      <c r="K39" s="1">
        <v>1</v>
      </c>
      <c r="L39">
        <v>1</v>
      </c>
      <c r="M39">
        <v>1</v>
      </c>
    </row>
    <row r="40" spans="1:13" x14ac:dyDescent="0.25">
      <c r="A40">
        <v>120</v>
      </c>
      <c r="B40">
        <f>HEX2DEC(Tabela1[[#This Row],[VLANStr]])</f>
        <v>288</v>
      </c>
      <c r="C40" t="s">
        <v>11</v>
      </c>
      <c r="D40">
        <f>HEX2DEC(Tabela1[[#This Row],[ecpriIDstr]])</f>
        <v>41136</v>
      </c>
      <c r="E40">
        <v>2</v>
      </c>
      <c r="F40">
        <v>7</v>
      </c>
      <c r="G40">
        <v>0</v>
      </c>
      <c r="H40">
        <v>0</v>
      </c>
      <c r="I40">
        <v>39</v>
      </c>
      <c r="J40" s="1">
        <v>0</v>
      </c>
      <c r="K40" s="1">
        <v>1</v>
      </c>
      <c r="L40">
        <v>1</v>
      </c>
      <c r="M40">
        <v>1</v>
      </c>
    </row>
    <row r="41" spans="1:13" x14ac:dyDescent="0.25">
      <c r="A41">
        <v>120</v>
      </c>
      <c r="B41">
        <f>HEX2DEC(Tabela1[[#This Row],[VLANStr]])</f>
        <v>288</v>
      </c>
      <c r="C41" t="s">
        <v>11</v>
      </c>
      <c r="D41">
        <f>HEX2DEC(Tabela1[[#This Row],[ecpriIDstr]])</f>
        <v>41136</v>
      </c>
      <c r="E41">
        <v>2</v>
      </c>
      <c r="F41">
        <v>8</v>
      </c>
      <c r="G41">
        <v>0</v>
      </c>
      <c r="H41">
        <v>0</v>
      </c>
      <c r="I41">
        <v>40</v>
      </c>
      <c r="J41" s="1">
        <v>0</v>
      </c>
      <c r="K41" s="1">
        <v>1</v>
      </c>
      <c r="L41">
        <v>1</v>
      </c>
      <c r="M41">
        <v>1</v>
      </c>
    </row>
    <row r="42" spans="1:13" x14ac:dyDescent="0.25">
      <c r="A42">
        <v>120</v>
      </c>
      <c r="B42" s="2">
        <f>HEX2DEC(Tabela1[[#This Row],[VLANStr]])</f>
        <v>288</v>
      </c>
      <c r="C42" t="s">
        <v>11</v>
      </c>
      <c r="D42" s="2">
        <f>HEX2DEC(Tabela1[[#This Row],[ecpriIDstr]])</f>
        <v>41136</v>
      </c>
      <c r="E42">
        <v>2</v>
      </c>
      <c r="F42">
        <v>9</v>
      </c>
      <c r="G42">
        <v>0</v>
      </c>
      <c r="H42">
        <v>0</v>
      </c>
      <c r="I42">
        <v>41</v>
      </c>
      <c r="J42" s="1">
        <v>0</v>
      </c>
      <c r="K42" s="1">
        <v>1</v>
      </c>
      <c r="L42">
        <v>1</v>
      </c>
      <c r="M42">
        <v>1</v>
      </c>
    </row>
    <row r="43" spans="1:13" x14ac:dyDescent="0.25">
      <c r="A43">
        <v>120</v>
      </c>
      <c r="B43">
        <f>HEX2DEC(Tabela1[[#This Row],[VLANStr]])</f>
        <v>288</v>
      </c>
      <c r="C43" t="s">
        <v>11</v>
      </c>
      <c r="D43">
        <f>HEX2DEC(Tabela1[[#This Row],[ecpriIDstr]])</f>
        <v>41136</v>
      </c>
      <c r="E43">
        <v>2</v>
      </c>
      <c r="F43">
        <v>10</v>
      </c>
      <c r="G43">
        <v>0</v>
      </c>
      <c r="H43">
        <v>0</v>
      </c>
      <c r="I43">
        <v>42</v>
      </c>
      <c r="J43" s="1">
        <v>0</v>
      </c>
      <c r="K43" s="1">
        <v>1</v>
      </c>
      <c r="L43">
        <v>1</v>
      </c>
      <c r="M43">
        <v>1</v>
      </c>
    </row>
    <row r="44" spans="1:13" x14ac:dyDescent="0.25">
      <c r="A44">
        <v>120</v>
      </c>
      <c r="B44">
        <f>HEX2DEC(Tabela1[[#This Row],[VLANStr]])</f>
        <v>288</v>
      </c>
      <c r="C44" t="s">
        <v>11</v>
      </c>
      <c r="D44">
        <f>HEX2DEC(Tabela1[[#This Row],[ecpriIDstr]])</f>
        <v>41136</v>
      </c>
      <c r="E44">
        <v>2</v>
      </c>
      <c r="F44">
        <v>11</v>
      </c>
      <c r="G44">
        <v>0</v>
      </c>
      <c r="H44">
        <v>0</v>
      </c>
      <c r="I44">
        <v>43</v>
      </c>
      <c r="J44" s="1">
        <v>0</v>
      </c>
      <c r="K44" s="1">
        <v>1</v>
      </c>
      <c r="L44">
        <v>1</v>
      </c>
      <c r="M44">
        <v>1</v>
      </c>
    </row>
    <row r="45" spans="1:13" x14ac:dyDescent="0.25">
      <c r="A45">
        <v>120</v>
      </c>
      <c r="B45" s="2">
        <f>HEX2DEC(Tabela1[[#This Row],[VLANStr]])</f>
        <v>288</v>
      </c>
      <c r="C45" t="s">
        <v>11</v>
      </c>
      <c r="D45" s="2">
        <f>HEX2DEC(Tabela1[[#This Row],[ecpriIDstr]])</f>
        <v>41136</v>
      </c>
      <c r="E45">
        <v>2</v>
      </c>
      <c r="F45">
        <v>12</v>
      </c>
      <c r="G45">
        <v>0</v>
      </c>
      <c r="H45">
        <v>0</v>
      </c>
      <c r="I45">
        <v>44</v>
      </c>
      <c r="J45" s="1">
        <v>0</v>
      </c>
      <c r="K45" s="1">
        <v>1</v>
      </c>
      <c r="L45">
        <v>1</v>
      </c>
      <c r="M45">
        <v>1</v>
      </c>
    </row>
    <row r="46" spans="1:13" x14ac:dyDescent="0.25">
      <c r="A46">
        <v>120</v>
      </c>
      <c r="B46">
        <f>HEX2DEC(Tabela1[[#This Row],[VLANStr]])</f>
        <v>288</v>
      </c>
      <c r="C46" t="s">
        <v>11</v>
      </c>
      <c r="D46">
        <f>HEX2DEC(Tabela1[[#This Row],[ecpriIDstr]])</f>
        <v>41136</v>
      </c>
      <c r="E46">
        <v>2</v>
      </c>
      <c r="F46">
        <v>13</v>
      </c>
      <c r="G46">
        <v>0</v>
      </c>
      <c r="H46">
        <v>0</v>
      </c>
      <c r="I46">
        <v>45</v>
      </c>
      <c r="J46" s="1">
        <v>0</v>
      </c>
      <c r="K46" s="1">
        <v>1</v>
      </c>
      <c r="L46">
        <v>1</v>
      </c>
      <c r="M46">
        <v>1</v>
      </c>
    </row>
    <row r="47" spans="1:13" x14ac:dyDescent="0.25">
      <c r="A47">
        <v>120</v>
      </c>
      <c r="B47">
        <f>HEX2DEC(Tabela1[[#This Row],[VLANStr]])</f>
        <v>288</v>
      </c>
      <c r="C47" t="s">
        <v>11</v>
      </c>
      <c r="D47">
        <f>HEX2DEC(Tabela1[[#This Row],[ecpriIDstr]])</f>
        <v>41136</v>
      </c>
      <c r="E47">
        <v>2</v>
      </c>
      <c r="F47">
        <v>14</v>
      </c>
      <c r="G47">
        <v>0</v>
      </c>
      <c r="H47">
        <v>0</v>
      </c>
      <c r="I47">
        <v>46</v>
      </c>
      <c r="J47" s="1">
        <v>0</v>
      </c>
      <c r="K47" s="1">
        <v>1</v>
      </c>
      <c r="L47">
        <v>1</v>
      </c>
      <c r="M47">
        <v>1</v>
      </c>
    </row>
    <row r="48" spans="1:13" x14ac:dyDescent="0.25">
      <c r="A48">
        <v>120</v>
      </c>
      <c r="B48" s="2">
        <f>HEX2DEC(Tabela1[[#This Row],[VLANStr]])</f>
        <v>288</v>
      </c>
      <c r="C48" t="s">
        <v>11</v>
      </c>
      <c r="D48" s="2">
        <f>HEX2DEC(Tabela1[[#This Row],[ecpriIDstr]])</f>
        <v>41136</v>
      </c>
      <c r="E48">
        <v>2</v>
      </c>
      <c r="F48">
        <v>15</v>
      </c>
      <c r="G48">
        <v>0</v>
      </c>
      <c r="H48">
        <v>0</v>
      </c>
      <c r="I48">
        <v>47</v>
      </c>
      <c r="J48" s="1">
        <v>0</v>
      </c>
      <c r="K48" s="1">
        <v>1</v>
      </c>
      <c r="L48">
        <v>1</v>
      </c>
      <c r="M48">
        <v>1</v>
      </c>
    </row>
    <row r="49" spans="1:13" x14ac:dyDescent="0.25">
      <c r="A49">
        <v>120</v>
      </c>
      <c r="B49">
        <f>HEX2DEC(Tabela1[[#This Row],[VLANStr]])</f>
        <v>288</v>
      </c>
      <c r="C49" t="s">
        <v>11</v>
      </c>
      <c r="D49">
        <f>HEX2DEC(Tabela1[[#This Row],[ecpriIDstr]])</f>
        <v>41136</v>
      </c>
      <c r="E49">
        <v>3</v>
      </c>
      <c r="F49">
        <v>0</v>
      </c>
      <c r="G49">
        <v>0</v>
      </c>
      <c r="H49">
        <v>0</v>
      </c>
      <c r="I49">
        <v>48</v>
      </c>
      <c r="J49" s="1">
        <v>0</v>
      </c>
      <c r="K49" s="1">
        <v>1</v>
      </c>
      <c r="L49">
        <v>1</v>
      </c>
      <c r="M49">
        <v>1</v>
      </c>
    </row>
    <row r="50" spans="1:13" x14ac:dyDescent="0.25">
      <c r="A50">
        <v>120</v>
      </c>
      <c r="B50">
        <f>HEX2DEC(Tabela1[[#This Row],[VLANStr]])</f>
        <v>288</v>
      </c>
      <c r="C50" t="s">
        <v>11</v>
      </c>
      <c r="D50">
        <f>HEX2DEC(Tabela1[[#This Row],[ecpriIDstr]])</f>
        <v>41136</v>
      </c>
      <c r="E50">
        <v>3</v>
      </c>
      <c r="F50">
        <v>1</v>
      </c>
      <c r="G50">
        <v>0</v>
      </c>
      <c r="H50">
        <v>0</v>
      </c>
      <c r="I50">
        <v>49</v>
      </c>
      <c r="J50" s="1">
        <v>0</v>
      </c>
      <c r="K50" s="1">
        <v>1</v>
      </c>
      <c r="L50">
        <v>1</v>
      </c>
      <c r="M50">
        <v>1</v>
      </c>
    </row>
    <row r="51" spans="1:13" x14ac:dyDescent="0.25">
      <c r="A51">
        <v>120</v>
      </c>
      <c r="B51" s="2">
        <f>HEX2DEC(Tabela1[[#This Row],[VLANStr]])</f>
        <v>288</v>
      </c>
      <c r="C51" t="s">
        <v>11</v>
      </c>
      <c r="D51" s="2">
        <f>HEX2DEC(Tabela1[[#This Row],[ecpriIDstr]])</f>
        <v>41136</v>
      </c>
      <c r="E51">
        <v>3</v>
      </c>
      <c r="F51">
        <v>2</v>
      </c>
      <c r="G51">
        <v>0</v>
      </c>
      <c r="H51">
        <v>0</v>
      </c>
      <c r="I51">
        <v>50</v>
      </c>
      <c r="J51" s="1">
        <v>0</v>
      </c>
      <c r="K51" s="1">
        <v>1</v>
      </c>
      <c r="L51">
        <v>1</v>
      </c>
      <c r="M51">
        <v>1</v>
      </c>
    </row>
    <row r="52" spans="1:13" x14ac:dyDescent="0.25">
      <c r="A52">
        <v>120</v>
      </c>
      <c r="B52">
        <f>HEX2DEC(Tabela1[[#This Row],[VLANStr]])</f>
        <v>288</v>
      </c>
      <c r="C52" t="s">
        <v>11</v>
      </c>
      <c r="D52">
        <f>HEX2DEC(Tabela1[[#This Row],[ecpriIDstr]])</f>
        <v>41136</v>
      </c>
      <c r="E52">
        <v>3</v>
      </c>
      <c r="F52">
        <v>3</v>
      </c>
      <c r="G52">
        <v>0</v>
      </c>
      <c r="H52">
        <v>0</v>
      </c>
      <c r="I52">
        <v>51</v>
      </c>
      <c r="J52" s="1">
        <v>0</v>
      </c>
      <c r="K52" s="1">
        <v>1</v>
      </c>
      <c r="L52">
        <v>1</v>
      </c>
      <c r="M52">
        <v>1</v>
      </c>
    </row>
    <row r="53" spans="1:13" x14ac:dyDescent="0.25">
      <c r="A53">
        <v>120</v>
      </c>
      <c r="B53">
        <f>HEX2DEC(Tabela1[[#This Row],[VLANStr]])</f>
        <v>288</v>
      </c>
      <c r="C53" t="s">
        <v>11</v>
      </c>
      <c r="D53">
        <f>HEX2DEC(Tabela1[[#This Row],[ecpriIDstr]])</f>
        <v>41136</v>
      </c>
      <c r="E53">
        <v>3</v>
      </c>
      <c r="F53">
        <v>4</v>
      </c>
      <c r="G53">
        <v>0</v>
      </c>
      <c r="H53">
        <v>0</v>
      </c>
      <c r="I53">
        <v>52</v>
      </c>
      <c r="J53" s="1">
        <v>0</v>
      </c>
      <c r="K53" s="1">
        <v>1</v>
      </c>
      <c r="L53">
        <v>1</v>
      </c>
      <c r="M53">
        <v>1</v>
      </c>
    </row>
    <row r="54" spans="1:13" x14ac:dyDescent="0.25">
      <c r="A54">
        <v>120</v>
      </c>
      <c r="B54" s="2">
        <f>HEX2DEC(Tabela1[[#This Row],[VLANStr]])</f>
        <v>288</v>
      </c>
      <c r="C54" t="s">
        <v>11</v>
      </c>
      <c r="D54" s="2">
        <f>HEX2DEC(Tabela1[[#This Row],[ecpriIDstr]])</f>
        <v>41136</v>
      </c>
      <c r="E54">
        <v>3</v>
      </c>
      <c r="F54">
        <v>5</v>
      </c>
      <c r="G54">
        <v>0</v>
      </c>
      <c r="H54">
        <v>0</v>
      </c>
      <c r="I54">
        <v>53</v>
      </c>
      <c r="J54" s="1">
        <v>0</v>
      </c>
      <c r="K54" s="1">
        <v>1</v>
      </c>
      <c r="L54">
        <v>1</v>
      </c>
      <c r="M54">
        <v>1</v>
      </c>
    </row>
    <row r="55" spans="1:13" x14ac:dyDescent="0.25">
      <c r="A55">
        <v>120</v>
      </c>
      <c r="B55">
        <f>HEX2DEC(Tabela1[[#This Row],[VLANStr]])</f>
        <v>288</v>
      </c>
      <c r="C55" t="s">
        <v>11</v>
      </c>
      <c r="D55">
        <f>HEX2DEC(Tabela1[[#This Row],[ecpriIDstr]])</f>
        <v>41136</v>
      </c>
      <c r="E55">
        <v>3</v>
      </c>
      <c r="F55">
        <v>6</v>
      </c>
      <c r="G55">
        <v>0</v>
      </c>
      <c r="H55">
        <v>0</v>
      </c>
      <c r="I55">
        <v>54</v>
      </c>
      <c r="J55" s="1">
        <v>0</v>
      </c>
      <c r="K55" s="1">
        <v>1</v>
      </c>
      <c r="L55">
        <v>1</v>
      </c>
      <c r="M55">
        <v>1</v>
      </c>
    </row>
    <row r="56" spans="1:13" x14ac:dyDescent="0.25">
      <c r="A56">
        <v>120</v>
      </c>
      <c r="B56">
        <f>HEX2DEC(Tabela1[[#This Row],[VLANStr]])</f>
        <v>288</v>
      </c>
      <c r="C56" t="s">
        <v>11</v>
      </c>
      <c r="D56">
        <f>HEX2DEC(Tabela1[[#This Row],[ecpriIDstr]])</f>
        <v>41136</v>
      </c>
      <c r="E56">
        <v>3</v>
      </c>
      <c r="F56">
        <v>7</v>
      </c>
      <c r="G56">
        <v>0</v>
      </c>
      <c r="H56">
        <v>0</v>
      </c>
      <c r="I56">
        <v>55</v>
      </c>
      <c r="J56" s="1">
        <v>0</v>
      </c>
      <c r="K56" s="1">
        <v>1</v>
      </c>
      <c r="L56">
        <v>1</v>
      </c>
      <c r="M56">
        <v>1</v>
      </c>
    </row>
    <row r="57" spans="1:13" x14ac:dyDescent="0.25">
      <c r="A57">
        <v>120</v>
      </c>
      <c r="B57" s="2">
        <f>HEX2DEC(Tabela1[[#This Row],[VLANStr]])</f>
        <v>288</v>
      </c>
      <c r="C57" t="s">
        <v>11</v>
      </c>
      <c r="D57" s="2">
        <f>HEX2DEC(Tabela1[[#This Row],[ecpriIDstr]])</f>
        <v>41136</v>
      </c>
      <c r="E57">
        <v>3</v>
      </c>
      <c r="F57">
        <v>8</v>
      </c>
      <c r="G57">
        <v>0</v>
      </c>
      <c r="H57">
        <v>0</v>
      </c>
      <c r="I57">
        <v>56</v>
      </c>
      <c r="J57" s="1">
        <v>0</v>
      </c>
      <c r="K57" s="1">
        <v>1</v>
      </c>
      <c r="L57">
        <v>1</v>
      </c>
      <c r="M57">
        <v>1</v>
      </c>
    </row>
    <row r="58" spans="1:13" x14ac:dyDescent="0.25">
      <c r="A58">
        <v>120</v>
      </c>
      <c r="B58">
        <f>HEX2DEC(Tabela1[[#This Row],[VLANStr]])</f>
        <v>288</v>
      </c>
      <c r="C58" t="s">
        <v>11</v>
      </c>
      <c r="D58">
        <f>HEX2DEC(Tabela1[[#This Row],[ecpriIDstr]])</f>
        <v>41136</v>
      </c>
      <c r="E58">
        <v>3</v>
      </c>
      <c r="F58">
        <v>9</v>
      </c>
      <c r="G58">
        <v>0</v>
      </c>
      <c r="H58">
        <v>0</v>
      </c>
      <c r="I58">
        <v>57</v>
      </c>
      <c r="J58" s="1">
        <v>0</v>
      </c>
      <c r="K58" s="1">
        <v>1</v>
      </c>
      <c r="L58">
        <v>1</v>
      </c>
      <c r="M58">
        <v>1</v>
      </c>
    </row>
    <row r="59" spans="1:13" x14ac:dyDescent="0.25">
      <c r="A59">
        <v>120</v>
      </c>
      <c r="B59">
        <f>HEX2DEC(Tabela1[[#This Row],[VLANStr]])</f>
        <v>288</v>
      </c>
      <c r="C59" t="s">
        <v>11</v>
      </c>
      <c r="D59">
        <f>HEX2DEC(Tabela1[[#This Row],[ecpriIDstr]])</f>
        <v>41136</v>
      </c>
      <c r="E59">
        <v>3</v>
      </c>
      <c r="F59">
        <v>10</v>
      </c>
      <c r="G59">
        <v>0</v>
      </c>
      <c r="H59">
        <v>0</v>
      </c>
      <c r="I59">
        <v>58</v>
      </c>
      <c r="J59" s="1">
        <v>0</v>
      </c>
      <c r="K59" s="1">
        <v>1</v>
      </c>
      <c r="L59">
        <v>1</v>
      </c>
      <c r="M59">
        <v>1</v>
      </c>
    </row>
    <row r="60" spans="1:13" x14ac:dyDescent="0.25">
      <c r="A60">
        <v>120</v>
      </c>
      <c r="B60" s="2">
        <f>HEX2DEC(Tabela1[[#This Row],[VLANStr]])</f>
        <v>288</v>
      </c>
      <c r="C60" t="s">
        <v>11</v>
      </c>
      <c r="D60" s="2">
        <f>HEX2DEC(Tabela1[[#This Row],[ecpriIDstr]])</f>
        <v>41136</v>
      </c>
      <c r="E60">
        <v>3</v>
      </c>
      <c r="F60">
        <v>11</v>
      </c>
      <c r="G60">
        <v>0</v>
      </c>
      <c r="H60">
        <v>0</v>
      </c>
      <c r="I60">
        <v>59</v>
      </c>
      <c r="J60" s="1">
        <v>0</v>
      </c>
      <c r="K60" s="1">
        <v>1</v>
      </c>
      <c r="L60">
        <v>1</v>
      </c>
      <c r="M60">
        <v>1</v>
      </c>
    </row>
    <row r="61" spans="1:13" x14ac:dyDescent="0.25">
      <c r="A61">
        <v>120</v>
      </c>
      <c r="B61">
        <f>HEX2DEC(Tabela1[[#This Row],[VLANStr]])</f>
        <v>288</v>
      </c>
      <c r="C61" t="s">
        <v>11</v>
      </c>
      <c r="D61">
        <f>HEX2DEC(Tabela1[[#This Row],[ecpriIDstr]])</f>
        <v>41136</v>
      </c>
      <c r="E61">
        <v>3</v>
      </c>
      <c r="F61">
        <v>12</v>
      </c>
      <c r="G61">
        <v>0</v>
      </c>
      <c r="H61">
        <v>0</v>
      </c>
      <c r="I61">
        <v>60</v>
      </c>
      <c r="J61" s="1">
        <v>0</v>
      </c>
      <c r="K61" s="1">
        <v>1</v>
      </c>
      <c r="L61">
        <v>1</v>
      </c>
      <c r="M61">
        <v>1</v>
      </c>
    </row>
    <row r="62" spans="1:13" x14ac:dyDescent="0.25">
      <c r="A62">
        <v>120</v>
      </c>
      <c r="B62">
        <f>HEX2DEC(Tabela1[[#This Row],[VLANStr]])</f>
        <v>288</v>
      </c>
      <c r="C62" t="s">
        <v>11</v>
      </c>
      <c r="D62">
        <f>HEX2DEC(Tabela1[[#This Row],[ecpriIDstr]])</f>
        <v>41136</v>
      </c>
      <c r="E62">
        <v>3</v>
      </c>
      <c r="F62">
        <v>13</v>
      </c>
      <c r="G62">
        <v>0</v>
      </c>
      <c r="H62">
        <v>0</v>
      </c>
      <c r="I62">
        <v>61</v>
      </c>
      <c r="J62" s="1">
        <v>0</v>
      </c>
      <c r="K62" s="1">
        <v>1</v>
      </c>
      <c r="L62">
        <v>1</v>
      </c>
      <c r="M62">
        <v>1</v>
      </c>
    </row>
    <row r="63" spans="1:13" x14ac:dyDescent="0.25">
      <c r="A63">
        <v>120</v>
      </c>
      <c r="B63" s="2">
        <f>HEX2DEC(Tabela1[[#This Row],[VLANStr]])</f>
        <v>288</v>
      </c>
      <c r="C63" t="s">
        <v>11</v>
      </c>
      <c r="D63" s="2">
        <f>HEX2DEC(Tabela1[[#This Row],[ecpriIDstr]])</f>
        <v>41136</v>
      </c>
      <c r="E63">
        <v>3</v>
      </c>
      <c r="F63">
        <v>14</v>
      </c>
      <c r="G63">
        <v>0</v>
      </c>
      <c r="H63">
        <v>0</v>
      </c>
      <c r="I63">
        <v>62</v>
      </c>
      <c r="J63" s="1">
        <v>0</v>
      </c>
      <c r="K63" s="1">
        <v>1</v>
      </c>
      <c r="L63">
        <v>1</v>
      </c>
      <c r="M63">
        <v>1</v>
      </c>
    </row>
    <row r="64" spans="1:13" x14ac:dyDescent="0.25">
      <c r="A64">
        <v>120</v>
      </c>
      <c r="B64">
        <f>HEX2DEC(Tabela1[[#This Row],[VLANStr]])</f>
        <v>288</v>
      </c>
      <c r="C64" t="s">
        <v>11</v>
      </c>
      <c r="D64">
        <f>HEX2DEC(Tabela1[[#This Row],[ecpriIDstr]])</f>
        <v>41136</v>
      </c>
      <c r="E64">
        <v>3</v>
      </c>
      <c r="F64">
        <v>15</v>
      </c>
      <c r="G64">
        <v>0</v>
      </c>
      <c r="H64">
        <v>0</v>
      </c>
      <c r="I64">
        <v>63</v>
      </c>
      <c r="J64" s="1">
        <v>0</v>
      </c>
      <c r="K64" s="1">
        <v>1</v>
      </c>
      <c r="L64">
        <v>1</v>
      </c>
      <c r="M64">
        <v>1</v>
      </c>
    </row>
    <row r="65" spans="1:13" x14ac:dyDescent="0.25">
      <c r="A65">
        <v>120</v>
      </c>
      <c r="B65">
        <f>HEX2DEC(Tabela1[[#This Row],[VLANStr]])</f>
        <v>288</v>
      </c>
      <c r="C65" t="s">
        <v>11</v>
      </c>
      <c r="D65">
        <f>HEX2DEC(Tabela1[[#This Row],[ecpriIDstr]])</f>
        <v>41136</v>
      </c>
      <c r="E65">
        <v>4</v>
      </c>
      <c r="F65">
        <v>0</v>
      </c>
      <c r="G65">
        <v>0</v>
      </c>
      <c r="H65">
        <v>0</v>
      </c>
      <c r="I65">
        <v>64</v>
      </c>
      <c r="J65" s="1">
        <v>0</v>
      </c>
      <c r="K65" s="1">
        <v>1</v>
      </c>
      <c r="L65">
        <v>1</v>
      </c>
      <c r="M65">
        <v>1</v>
      </c>
    </row>
    <row r="66" spans="1:13" x14ac:dyDescent="0.25">
      <c r="A66">
        <v>120</v>
      </c>
      <c r="B66" s="2">
        <f>HEX2DEC(Tabela1[[#This Row],[VLANStr]])</f>
        <v>288</v>
      </c>
      <c r="C66" t="s">
        <v>11</v>
      </c>
      <c r="D66" s="2">
        <f>HEX2DEC(Tabela1[[#This Row],[ecpriIDstr]])</f>
        <v>41136</v>
      </c>
      <c r="E66">
        <v>4</v>
      </c>
      <c r="F66">
        <v>1</v>
      </c>
      <c r="G66">
        <v>0</v>
      </c>
      <c r="H66">
        <v>0</v>
      </c>
      <c r="I66">
        <v>65</v>
      </c>
      <c r="J66" s="1">
        <v>0</v>
      </c>
      <c r="K66" s="1">
        <v>1</v>
      </c>
      <c r="L66">
        <v>1</v>
      </c>
      <c r="M66">
        <v>1</v>
      </c>
    </row>
    <row r="67" spans="1:13" x14ac:dyDescent="0.25">
      <c r="A67">
        <v>120</v>
      </c>
      <c r="B67">
        <f>HEX2DEC(Tabela1[[#This Row],[VLANStr]])</f>
        <v>288</v>
      </c>
      <c r="C67" t="s">
        <v>11</v>
      </c>
      <c r="D67">
        <f>HEX2DEC(Tabela1[[#This Row],[ecpriIDstr]])</f>
        <v>41136</v>
      </c>
      <c r="E67">
        <v>4</v>
      </c>
      <c r="F67">
        <v>2</v>
      </c>
      <c r="G67">
        <v>0</v>
      </c>
      <c r="H67">
        <v>0</v>
      </c>
      <c r="I67">
        <v>66</v>
      </c>
      <c r="J67" s="1">
        <v>0</v>
      </c>
      <c r="K67" s="1">
        <v>1</v>
      </c>
      <c r="L67">
        <v>1</v>
      </c>
      <c r="M67">
        <v>1</v>
      </c>
    </row>
    <row r="68" spans="1:13" x14ac:dyDescent="0.25">
      <c r="A68">
        <v>120</v>
      </c>
      <c r="B68">
        <f>HEX2DEC(Tabela1[[#This Row],[VLANStr]])</f>
        <v>288</v>
      </c>
      <c r="C68" t="s">
        <v>11</v>
      </c>
      <c r="D68">
        <f>HEX2DEC(Tabela1[[#This Row],[ecpriIDstr]])</f>
        <v>41136</v>
      </c>
      <c r="E68">
        <v>4</v>
      </c>
      <c r="F68">
        <v>3</v>
      </c>
      <c r="G68">
        <v>0</v>
      </c>
      <c r="H68">
        <v>0</v>
      </c>
      <c r="I68">
        <v>67</v>
      </c>
      <c r="J68" s="1">
        <v>0</v>
      </c>
      <c r="K68" s="1">
        <v>1</v>
      </c>
      <c r="L68">
        <v>1</v>
      </c>
      <c r="M68">
        <v>1</v>
      </c>
    </row>
    <row r="69" spans="1:13" x14ac:dyDescent="0.25">
      <c r="A69">
        <v>120</v>
      </c>
      <c r="B69" s="2">
        <f>HEX2DEC(Tabela1[[#This Row],[VLANStr]])</f>
        <v>288</v>
      </c>
      <c r="C69" t="s">
        <v>11</v>
      </c>
      <c r="D69" s="2">
        <f>HEX2DEC(Tabela1[[#This Row],[ecpriIDstr]])</f>
        <v>41136</v>
      </c>
      <c r="E69">
        <v>4</v>
      </c>
      <c r="F69">
        <v>4</v>
      </c>
      <c r="G69">
        <v>0</v>
      </c>
      <c r="H69">
        <v>0</v>
      </c>
      <c r="I69">
        <v>68</v>
      </c>
      <c r="J69" s="1">
        <v>0</v>
      </c>
      <c r="K69" s="1">
        <v>1</v>
      </c>
      <c r="L69">
        <v>1</v>
      </c>
      <c r="M69">
        <v>1</v>
      </c>
    </row>
    <row r="70" spans="1:13" x14ac:dyDescent="0.25">
      <c r="A70">
        <v>120</v>
      </c>
      <c r="B70">
        <f>HEX2DEC(Tabela1[[#This Row],[VLANStr]])</f>
        <v>288</v>
      </c>
      <c r="C70" t="s">
        <v>11</v>
      </c>
      <c r="D70">
        <f>HEX2DEC(Tabela1[[#This Row],[ecpriIDstr]])</f>
        <v>41136</v>
      </c>
      <c r="E70">
        <v>4</v>
      </c>
      <c r="F70">
        <v>5</v>
      </c>
      <c r="G70">
        <v>0</v>
      </c>
      <c r="H70">
        <v>0</v>
      </c>
      <c r="I70">
        <v>69</v>
      </c>
      <c r="J70" s="1">
        <v>0</v>
      </c>
      <c r="K70" s="1">
        <v>1</v>
      </c>
      <c r="L70">
        <v>1</v>
      </c>
      <c r="M70">
        <v>1</v>
      </c>
    </row>
    <row r="71" spans="1:13" x14ac:dyDescent="0.25">
      <c r="A71">
        <v>120</v>
      </c>
      <c r="B71">
        <f>HEX2DEC(Tabela1[[#This Row],[VLANStr]])</f>
        <v>288</v>
      </c>
      <c r="C71" t="s">
        <v>11</v>
      </c>
      <c r="D71">
        <f>HEX2DEC(Tabela1[[#This Row],[ecpriIDstr]])</f>
        <v>41136</v>
      </c>
      <c r="E71">
        <v>4</v>
      </c>
      <c r="F71">
        <v>6</v>
      </c>
      <c r="G71">
        <v>0</v>
      </c>
      <c r="H71">
        <v>0</v>
      </c>
      <c r="I71">
        <v>70</v>
      </c>
      <c r="J71" s="1">
        <v>0</v>
      </c>
      <c r="K71" s="1">
        <v>1</v>
      </c>
      <c r="L71">
        <v>1</v>
      </c>
      <c r="M71">
        <v>1</v>
      </c>
    </row>
    <row r="72" spans="1:13" x14ac:dyDescent="0.25">
      <c r="A72">
        <v>120</v>
      </c>
      <c r="B72" s="2">
        <f>HEX2DEC(Tabela1[[#This Row],[VLANStr]])</f>
        <v>288</v>
      </c>
      <c r="C72" t="s">
        <v>11</v>
      </c>
      <c r="D72" s="2">
        <f>HEX2DEC(Tabela1[[#This Row],[ecpriIDstr]])</f>
        <v>41136</v>
      </c>
      <c r="E72">
        <v>4</v>
      </c>
      <c r="F72">
        <v>7</v>
      </c>
      <c r="G72">
        <v>0</v>
      </c>
      <c r="H72">
        <v>0</v>
      </c>
      <c r="I72">
        <v>71</v>
      </c>
      <c r="J72" s="1">
        <v>0</v>
      </c>
      <c r="K72" s="1">
        <v>1</v>
      </c>
      <c r="L72">
        <v>1</v>
      </c>
      <c r="M72">
        <v>1</v>
      </c>
    </row>
    <row r="73" spans="1:13" x14ac:dyDescent="0.25">
      <c r="A73">
        <v>120</v>
      </c>
      <c r="B73">
        <f>HEX2DEC(Tabela1[[#This Row],[VLANStr]])</f>
        <v>288</v>
      </c>
      <c r="C73" t="s">
        <v>11</v>
      </c>
      <c r="D73">
        <f>HEX2DEC(Tabela1[[#This Row],[ecpriIDstr]])</f>
        <v>41136</v>
      </c>
      <c r="E73">
        <v>4</v>
      </c>
      <c r="F73">
        <v>8</v>
      </c>
      <c r="G73">
        <v>0</v>
      </c>
      <c r="H73">
        <v>0</v>
      </c>
      <c r="I73">
        <v>72</v>
      </c>
      <c r="J73" s="1">
        <v>0</v>
      </c>
      <c r="K73" s="1">
        <v>1</v>
      </c>
      <c r="L73">
        <v>1</v>
      </c>
      <c r="M73">
        <v>1</v>
      </c>
    </row>
    <row r="74" spans="1:13" x14ac:dyDescent="0.25">
      <c r="A74">
        <v>120</v>
      </c>
      <c r="B74">
        <f>HEX2DEC(Tabela1[[#This Row],[VLANStr]])</f>
        <v>288</v>
      </c>
      <c r="C74" t="s">
        <v>11</v>
      </c>
      <c r="D74">
        <f>HEX2DEC(Tabela1[[#This Row],[ecpriIDstr]])</f>
        <v>41136</v>
      </c>
      <c r="E74">
        <v>4</v>
      </c>
      <c r="F74">
        <v>9</v>
      </c>
      <c r="G74">
        <v>0</v>
      </c>
      <c r="H74">
        <v>0</v>
      </c>
      <c r="I74">
        <v>73</v>
      </c>
      <c r="J74" s="1">
        <v>0</v>
      </c>
      <c r="K74" s="1">
        <v>1</v>
      </c>
      <c r="L74">
        <v>1</v>
      </c>
      <c r="M74">
        <v>1</v>
      </c>
    </row>
    <row r="75" spans="1:13" x14ac:dyDescent="0.25">
      <c r="A75">
        <v>120</v>
      </c>
      <c r="B75" s="2">
        <f>HEX2DEC(Tabela1[[#This Row],[VLANStr]])</f>
        <v>288</v>
      </c>
      <c r="C75" t="s">
        <v>11</v>
      </c>
      <c r="D75" s="2">
        <f>HEX2DEC(Tabela1[[#This Row],[ecpriIDstr]])</f>
        <v>41136</v>
      </c>
      <c r="E75">
        <v>4</v>
      </c>
      <c r="F75">
        <v>10</v>
      </c>
      <c r="G75">
        <v>0</v>
      </c>
      <c r="H75">
        <v>0</v>
      </c>
      <c r="I75">
        <v>74</v>
      </c>
      <c r="J75" s="1">
        <v>0</v>
      </c>
      <c r="K75" s="1">
        <v>1</v>
      </c>
      <c r="L75">
        <v>1</v>
      </c>
      <c r="M75">
        <v>1</v>
      </c>
    </row>
    <row r="76" spans="1:13" x14ac:dyDescent="0.25">
      <c r="A76">
        <v>120</v>
      </c>
      <c r="B76">
        <f>HEX2DEC(Tabela1[[#This Row],[VLANStr]])</f>
        <v>288</v>
      </c>
      <c r="C76" t="s">
        <v>11</v>
      </c>
      <c r="D76">
        <f>HEX2DEC(Tabela1[[#This Row],[ecpriIDstr]])</f>
        <v>41136</v>
      </c>
      <c r="E76">
        <v>4</v>
      </c>
      <c r="F76">
        <v>11</v>
      </c>
      <c r="G76">
        <v>0</v>
      </c>
      <c r="H76">
        <v>0</v>
      </c>
      <c r="I76">
        <v>75</v>
      </c>
      <c r="J76" s="1">
        <v>0</v>
      </c>
      <c r="K76" s="1">
        <v>1</v>
      </c>
      <c r="L76">
        <v>1</v>
      </c>
      <c r="M76">
        <v>1</v>
      </c>
    </row>
    <row r="77" spans="1:13" x14ac:dyDescent="0.25">
      <c r="A77">
        <v>120</v>
      </c>
      <c r="B77">
        <f>HEX2DEC(Tabela1[[#This Row],[VLANStr]])</f>
        <v>288</v>
      </c>
      <c r="C77" t="s">
        <v>11</v>
      </c>
      <c r="D77">
        <f>HEX2DEC(Tabela1[[#This Row],[ecpriIDstr]])</f>
        <v>41136</v>
      </c>
      <c r="E77">
        <v>4</v>
      </c>
      <c r="F77">
        <v>12</v>
      </c>
      <c r="G77">
        <v>0</v>
      </c>
      <c r="H77">
        <v>0</v>
      </c>
      <c r="I77">
        <v>76</v>
      </c>
      <c r="J77" s="1">
        <v>0</v>
      </c>
      <c r="K77" s="1">
        <v>1</v>
      </c>
      <c r="L77">
        <v>1</v>
      </c>
      <c r="M77">
        <v>1</v>
      </c>
    </row>
    <row r="78" spans="1:13" x14ac:dyDescent="0.25">
      <c r="A78">
        <v>120</v>
      </c>
      <c r="B78" s="2">
        <f>HEX2DEC(Tabela1[[#This Row],[VLANStr]])</f>
        <v>288</v>
      </c>
      <c r="C78" t="s">
        <v>11</v>
      </c>
      <c r="D78" s="2">
        <f>HEX2DEC(Tabela1[[#This Row],[ecpriIDstr]])</f>
        <v>41136</v>
      </c>
      <c r="E78">
        <v>4</v>
      </c>
      <c r="F78">
        <v>13</v>
      </c>
      <c r="G78">
        <v>0</v>
      </c>
      <c r="H78">
        <v>0</v>
      </c>
      <c r="I78">
        <v>77</v>
      </c>
      <c r="J78" s="1">
        <v>0</v>
      </c>
      <c r="K78" s="1">
        <v>1</v>
      </c>
      <c r="L78">
        <v>1</v>
      </c>
      <c r="M78">
        <v>1</v>
      </c>
    </row>
    <row r="79" spans="1:13" x14ac:dyDescent="0.25">
      <c r="A79">
        <v>120</v>
      </c>
      <c r="B79">
        <f>HEX2DEC(Tabela1[[#This Row],[VLANStr]])</f>
        <v>288</v>
      </c>
      <c r="C79" t="s">
        <v>11</v>
      </c>
      <c r="D79">
        <f>HEX2DEC(Tabela1[[#This Row],[ecpriIDstr]])</f>
        <v>41136</v>
      </c>
      <c r="E79">
        <v>4</v>
      </c>
      <c r="F79">
        <v>14</v>
      </c>
      <c r="G79">
        <v>0</v>
      </c>
      <c r="H79">
        <v>0</v>
      </c>
      <c r="I79">
        <v>78</v>
      </c>
      <c r="J79" s="1">
        <v>0</v>
      </c>
      <c r="K79" s="1">
        <v>1</v>
      </c>
      <c r="L79">
        <v>1</v>
      </c>
      <c r="M79">
        <v>1</v>
      </c>
    </row>
    <row r="80" spans="1:13" x14ac:dyDescent="0.25">
      <c r="A80">
        <v>120</v>
      </c>
      <c r="B80">
        <f>HEX2DEC(Tabela1[[#This Row],[VLANStr]])</f>
        <v>288</v>
      </c>
      <c r="C80" t="s">
        <v>11</v>
      </c>
      <c r="D80">
        <f>HEX2DEC(Tabela1[[#This Row],[ecpriIDstr]])</f>
        <v>41136</v>
      </c>
      <c r="E80">
        <v>4</v>
      </c>
      <c r="F80">
        <v>15</v>
      </c>
      <c r="G80">
        <v>0</v>
      </c>
      <c r="H80">
        <v>0</v>
      </c>
      <c r="I80">
        <v>79</v>
      </c>
      <c r="J80" s="1">
        <v>0</v>
      </c>
      <c r="K80" s="1">
        <v>1</v>
      </c>
      <c r="L80">
        <v>1</v>
      </c>
      <c r="M80">
        <v>1</v>
      </c>
    </row>
    <row r="81" spans="1:13" x14ac:dyDescent="0.25">
      <c r="A81">
        <v>120</v>
      </c>
      <c r="B81" s="2">
        <f>HEX2DEC(Tabela1[[#This Row],[VLANStr]])</f>
        <v>288</v>
      </c>
      <c r="C81" t="s">
        <v>11</v>
      </c>
      <c r="D81" s="2">
        <f>HEX2DEC(Tabela1[[#This Row],[ecpriIDstr]])</f>
        <v>41136</v>
      </c>
      <c r="E81">
        <v>5</v>
      </c>
      <c r="F81">
        <v>0</v>
      </c>
      <c r="G81">
        <v>0</v>
      </c>
      <c r="H81">
        <v>0</v>
      </c>
      <c r="I81">
        <v>80</v>
      </c>
      <c r="J81" s="1">
        <v>0</v>
      </c>
      <c r="K81" s="1">
        <v>1</v>
      </c>
      <c r="L81">
        <v>1</v>
      </c>
      <c r="M81">
        <v>1</v>
      </c>
    </row>
    <row r="82" spans="1:13" x14ac:dyDescent="0.25">
      <c r="A82">
        <v>120</v>
      </c>
      <c r="B82">
        <f>HEX2DEC(Tabela1[[#This Row],[VLANStr]])</f>
        <v>288</v>
      </c>
      <c r="C82" t="s">
        <v>11</v>
      </c>
      <c r="D82">
        <f>HEX2DEC(Tabela1[[#This Row],[ecpriIDstr]])</f>
        <v>41136</v>
      </c>
      <c r="E82">
        <v>5</v>
      </c>
      <c r="F82">
        <v>1</v>
      </c>
      <c r="G82">
        <v>0</v>
      </c>
      <c r="H82">
        <v>0</v>
      </c>
      <c r="I82">
        <v>81</v>
      </c>
      <c r="J82" s="1">
        <v>0</v>
      </c>
      <c r="K82" s="1">
        <v>1</v>
      </c>
      <c r="L82">
        <v>1</v>
      </c>
      <c r="M82">
        <v>1</v>
      </c>
    </row>
    <row r="83" spans="1:13" x14ac:dyDescent="0.25">
      <c r="A83">
        <v>120</v>
      </c>
      <c r="B83">
        <f>HEX2DEC(Tabela1[[#This Row],[VLANStr]])</f>
        <v>288</v>
      </c>
      <c r="C83" t="s">
        <v>11</v>
      </c>
      <c r="D83">
        <f>HEX2DEC(Tabela1[[#This Row],[ecpriIDstr]])</f>
        <v>41136</v>
      </c>
      <c r="E83">
        <v>5</v>
      </c>
      <c r="F83">
        <v>2</v>
      </c>
      <c r="G83">
        <v>0</v>
      </c>
      <c r="H83">
        <v>0</v>
      </c>
      <c r="I83">
        <v>82</v>
      </c>
      <c r="J83" s="1">
        <v>0</v>
      </c>
      <c r="K83" s="1">
        <v>1</v>
      </c>
      <c r="L83">
        <v>1</v>
      </c>
      <c r="M83">
        <v>1</v>
      </c>
    </row>
    <row r="84" spans="1:13" x14ac:dyDescent="0.25">
      <c r="A84">
        <v>120</v>
      </c>
      <c r="B84" s="2">
        <f>HEX2DEC(Tabela1[[#This Row],[VLANStr]])</f>
        <v>288</v>
      </c>
      <c r="C84" t="s">
        <v>11</v>
      </c>
      <c r="D84" s="2">
        <f>HEX2DEC(Tabela1[[#This Row],[ecpriIDstr]])</f>
        <v>41136</v>
      </c>
      <c r="E84">
        <v>5</v>
      </c>
      <c r="F84">
        <v>3</v>
      </c>
      <c r="G84">
        <v>0</v>
      </c>
      <c r="H84">
        <v>0</v>
      </c>
      <c r="I84">
        <v>83</v>
      </c>
      <c r="J84" s="1">
        <v>0</v>
      </c>
      <c r="K84" s="1">
        <v>1</v>
      </c>
      <c r="L84">
        <v>1</v>
      </c>
      <c r="M84">
        <v>1</v>
      </c>
    </row>
    <row r="85" spans="1:13" x14ac:dyDescent="0.25">
      <c r="A85">
        <v>120</v>
      </c>
      <c r="B85">
        <f>HEX2DEC(Tabela1[[#This Row],[VLANStr]])</f>
        <v>288</v>
      </c>
      <c r="C85" t="s">
        <v>11</v>
      </c>
      <c r="D85">
        <f>HEX2DEC(Tabela1[[#This Row],[ecpriIDstr]])</f>
        <v>41136</v>
      </c>
      <c r="E85">
        <v>5</v>
      </c>
      <c r="F85">
        <v>4</v>
      </c>
      <c r="G85">
        <v>0</v>
      </c>
      <c r="H85">
        <v>0</v>
      </c>
      <c r="I85">
        <v>84</v>
      </c>
      <c r="J85" s="1">
        <v>0</v>
      </c>
      <c r="K85" s="1">
        <v>1</v>
      </c>
      <c r="L85">
        <v>1</v>
      </c>
      <c r="M85">
        <v>1</v>
      </c>
    </row>
    <row r="86" spans="1:13" x14ac:dyDescent="0.25">
      <c r="A86">
        <v>120</v>
      </c>
      <c r="B86">
        <f>HEX2DEC(Tabela1[[#This Row],[VLANStr]])</f>
        <v>288</v>
      </c>
      <c r="C86" t="s">
        <v>11</v>
      </c>
      <c r="D86">
        <f>HEX2DEC(Tabela1[[#This Row],[ecpriIDstr]])</f>
        <v>41136</v>
      </c>
      <c r="E86">
        <v>5</v>
      </c>
      <c r="F86">
        <v>5</v>
      </c>
      <c r="G86">
        <v>0</v>
      </c>
      <c r="H86">
        <v>0</v>
      </c>
      <c r="I86">
        <v>85</v>
      </c>
      <c r="J86" s="1">
        <v>0</v>
      </c>
      <c r="K86" s="1">
        <v>1</v>
      </c>
      <c r="L86">
        <v>1</v>
      </c>
      <c r="M86">
        <v>1</v>
      </c>
    </row>
    <row r="87" spans="1:13" x14ac:dyDescent="0.25">
      <c r="A87">
        <v>120</v>
      </c>
      <c r="B87" s="2">
        <f>HEX2DEC(Tabela1[[#This Row],[VLANStr]])</f>
        <v>288</v>
      </c>
      <c r="C87" t="s">
        <v>11</v>
      </c>
      <c r="D87" s="2">
        <f>HEX2DEC(Tabela1[[#This Row],[ecpriIDstr]])</f>
        <v>41136</v>
      </c>
      <c r="E87">
        <v>5</v>
      </c>
      <c r="F87">
        <v>6</v>
      </c>
      <c r="G87">
        <v>0</v>
      </c>
      <c r="H87">
        <v>0</v>
      </c>
      <c r="I87">
        <v>86</v>
      </c>
      <c r="J87" s="1">
        <v>0</v>
      </c>
      <c r="K87" s="1">
        <v>1</v>
      </c>
      <c r="L87">
        <v>1</v>
      </c>
      <c r="M87">
        <v>1</v>
      </c>
    </row>
    <row r="88" spans="1:13" x14ac:dyDescent="0.25">
      <c r="A88">
        <v>120</v>
      </c>
      <c r="B88">
        <f>HEX2DEC(Tabela1[[#This Row],[VLANStr]])</f>
        <v>288</v>
      </c>
      <c r="C88" t="s">
        <v>11</v>
      </c>
      <c r="D88">
        <f>HEX2DEC(Tabela1[[#This Row],[ecpriIDstr]])</f>
        <v>41136</v>
      </c>
      <c r="E88">
        <v>5</v>
      </c>
      <c r="F88">
        <v>7</v>
      </c>
      <c r="G88">
        <v>0</v>
      </c>
      <c r="H88">
        <v>0</v>
      </c>
      <c r="I88">
        <v>87</v>
      </c>
      <c r="J88" s="1">
        <v>0</v>
      </c>
      <c r="K88" s="1">
        <v>1</v>
      </c>
      <c r="L88">
        <v>1</v>
      </c>
      <c r="M88">
        <v>1</v>
      </c>
    </row>
    <row r="89" spans="1:13" x14ac:dyDescent="0.25">
      <c r="A89">
        <v>120</v>
      </c>
      <c r="B89">
        <f>HEX2DEC(Tabela1[[#This Row],[VLANStr]])</f>
        <v>288</v>
      </c>
      <c r="C89" t="s">
        <v>11</v>
      </c>
      <c r="D89">
        <f>HEX2DEC(Tabela1[[#This Row],[ecpriIDstr]])</f>
        <v>41136</v>
      </c>
      <c r="E89">
        <v>5</v>
      </c>
      <c r="F89">
        <v>8</v>
      </c>
      <c r="G89">
        <v>0</v>
      </c>
      <c r="H89">
        <v>0</v>
      </c>
      <c r="I89">
        <v>88</v>
      </c>
      <c r="J89" s="1">
        <v>0</v>
      </c>
      <c r="K89" s="1">
        <v>1</v>
      </c>
      <c r="L89">
        <v>1</v>
      </c>
      <c r="M89">
        <v>1</v>
      </c>
    </row>
    <row r="90" spans="1:13" x14ac:dyDescent="0.25">
      <c r="A90">
        <v>120</v>
      </c>
      <c r="B90" s="2">
        <f>HEX2DEC(Tabela1[[#This Row],[VLANStr]])</f>
        <v>288</v>
      </c>
      <c r="C90" t="s">
        <v>11</v>
      </c>
      <c r="D90" s="2">
        <f>HEX2DEC(Tabela1[[#This Row],[ecpriIDstr]])</f>
        <v>41136</v>
      </c>
      <c r="E90">
        <v>5</v>
      </c>
      <c r="F90">
        <v>9</v>
      </c>
      <c r="G90">
        <v>0</v>
      </c>
      <c r="H90">
        <v>0</v>
      </c>
      <c r="I90">
        <v>89</v>
      </c>
      <c r="J90" s="1">
        <v>0</v>
      </c>
      <c r="K90" s="1">
        <v>1</v>
      </c>
      <c r="L90">
        <v>1</v>
      </c>
      <c r="M90">
        <v>1</v>
      </c>
    </row>
    <row r="91" spans="1:13" x14ac:dyDescent="0.25">
      <c r="A91">
        <v>120</v>
      </c>
      <c r="B91">
        <f>HEX2DEC(Tabela1[[#This Row],[VLANStr]])</f>
        <v>288</v>
      </c>
      <c r="C91" t="s">
        <v>11</v>
      </c>
      <c r="D91">
        <f>HEX2DEC(Tabela1[[#This Row],[ecpriIDstr]])</f>
        <v>41136</v>
      </c>
      <c r="E91">
        <v>5</v>
      </c>
      <c r="F91">
        <v>10</v>
      </c>
      <c r="G91">
        <v>0</v>
      </c>
      <c r="H91">
        <v>0</v>
      </c>
      <c r="I91">
        <v>90</v>
      </c>
      <c r="J91" s="1">
        <v>0</v>
      </c>
      <c r="K91" s="1">
        <v>1</v>
      </c>
      <c r="L91">
        <v>1</v>
      </c>
      <c r="M91">
        <v>1</v>
      </c>
    </row>
    <row r="92" spans="1:13" x14ac:dyDescent="0.25">
      <c r="A92">
        <v>120</v>
      </c>
      <c r="B92">
        <f>HEX2DEC(Tabela1[[#This Row],[VLANStr]])</f>
        <v>288</v>
      </c>
      <c r="C92" t="s">
        <v>11</v>
      </c>
      <c r="D92">
        <f>HEX2DEC(Tabela1[[#This Row],[ecpriIDstr]])</f>
        <v>41136</v>
      </c>
      <c r="E92">
        <v>5</v>
      </c>
      <c r="F92">
        <v>11</v>
      </c>
      <c r="G92">
        <v>0</v>
      </c>
      <c r="H92">
        <v>0</v>
      </c>
      <c r="I92">
        <v>91</v>
      </c>
      <c r="J92" s="1">
        <v>0</v>
      </c>
      <c r="K92" s="1">
        <v>1</v>
      </c>
      <c r="L92">
        <v>1</v>
      </c>
      <c r="M92">
        <v>1</v>
      </c>
    </row>
    <row r="93" spans="1:13" x14ac:dyDescent="0.25">
      <c r="A93">
        <v>120</v>
      </c>
      <c r="B93" s="2">
        <f>HEX2DEC(Tabela1[[#This Row],[VLANStr]])</f>
        <v>288</v>
      </c>
      <c r="C93" t="s">
        <v>11</v>
      </c>
      <c r="D93" s="2">
        <f>HEX2DEC(Tabela1[[#This Row],[ecpriIDstr]])</f>
        <v>41136</v>
      </c>
      <c r="E93">
        <v>5</v>
      </c>
      <c r="F93">
        <v>12</v>
      </c>
      <c r="G93">
        <v>0</v>
      </c>
      <c r="H93">
        <v>0</v>
      </c>
      <c r="I93">
        <v>92</v>
      </c>
      <c r="J93" s="1">
        <v>0</v>
      </c>
      <c r="K93" s="1">
        <v>1</v>
      </c>
      <c r="L93">
        <v>1</v>
      </c>
      <c r="M93">
        <v>1</v>
      </c>
    </row>
    <row r="94" spans="1:13" x14ac:dyDescent="0.25">
      <c r="A94">
        <v>120</v>
      </c>
      <c r="B94">
        <f>HEX2DEC(Tabela1[[#This Row],[VLANStr]])</f>
        <v>288</v>
      </c>
      <c r="C94" t="s">
        <v>11</v>
      </c>
      <c r="D94">
        <f>HEX2DEC(Tabela1[[#This Row],[ecpriIDstr]])</f>
        <v>41136</v>
      </c>
      <c r="E94">
        <v>5</v>
      </c>
      <c r="F94">
        <v>13</v>
      </c>
      <c r="G94">
        <v>0</v>
      </c>
      <c r="H94">
        <v>0</v>
      </c>
      <c r="I94">
        <v>93</v>
      </c>
      <c r="J94" s="1">
        <v>0</v>
      </c>
      <c r="K94" s="1">
        <v>1</v>
      </c>
      <c r="L94">
        <v>1</v>
      </c>
      <c r="M94">
        <v>1</v>
      </c>
    </row>
    <row r="95" spans="1:13" x14ac:dyDescent="0.25">
      <c r="A95">
        <v>120</v>
      </c>
      <c r="B95">
        <f>HEX2DEC(Tabela1[[#This Row],[VLANStr]])</f>
        <v>288</v>
      </c>
      <c r="C95" t="s">
        <v>11</v>
      </c>
      <c r="D95">
        <f>HEX2DEC(Tabela1[[#This Row],[ecpriIDstr]])</f>
        <v>41136</v>
      </c>
      <c r="E95">
        <v>5</v>
      </c>
      <c r="F95">
        <v>14</v>
      </c>
      <c r="G95">
        <v>0</v>
      </c>
      <c r="H95">
        <v>0</v>
      </c>
      <c r="I95">
        <v>94</v>
      </c>
      <c r="J95" s="1">
        <v>0</v>
      </c>
      <c r="K95" s="1">
        <v>1</v>
      </c>
      <c r="L95">
        <v>1</v>
      </c>
      <c r="M95">
        <v>1</v>
      </c>
    </row>
    <row r="96" spans="1:13" x14ac:dyDescent="0.25">
      <c r="A96">
        <v>120</v>
      </c>
      <c r="B96" s="2">
        <f>HEX2DEC(Tabela1[[#This Row],[VLANStr]])</f>
        <v>288</v>
      </c>
      <c r="C96" t="s">
        <v>11</v>
      </c>
      <c r="D96" s="2">
        <f>HEX2DEC(Tabela1[[#This Row],[ecpriIDstr]])</f>
        <v>41136</v>
      </c>
      <c r="E96">
        <v>5</v>
      </c>
      <c r="F96">
        <v>15</v>
      </c>
      <c r="G96">
        <v>0</v>
      </c>
      <c r="H96">
        <v>0</v>
      </c>
      <c r="I96">
        <v>95</v>
      </c>
      <c r="J96" s="1">
        <v>0</v>
      </c>
      <c r="K96" s="1">
        <v>1</v>
      </c>
      <c r="L96">
        <v>1</v>
      </c>
      <c r="M96">
        <v>1</v>
      </c>
    </row>
    <row r="97" spans="1:13" x14ac:dyDescent="0.25">
      <c r="A97">
        <v>120</v>
      </c>
      <c r="B97">
        <f>HEX2DEC(Tabela1[[#This Row],[VLANStr]])</f>
        <v>288</v>
      </c>
      <c r="C97" t="s">
        <v>11</v>
      </c>
      <c r="D97">
        <f>HEX2DEC(Tabela1[[#This Row],[ecpriIDstr]])</f>
        <v>41136</v>
      </c>
      <c r="E97">
        <v>6</v>
      </c>
      <c r="F97">
        <v>0</v>
      </c>
      <c r="G97">
        <v>0</v>
      </c>
      <c r="H97">
        <v>0</v>
      </c>
      <c r="I97">
        <v>96</v>
      </c>
      <c r="J97" s="1">
        <v>0</v>
      </c>
      <c r="K97" s="1">
        <v>1</v>
      </c>
      <c r="L97">
        <v>1</v>
      </c>
      <c r="M97">
        <v>1</v>
      </c>
    </row>
    <row r="98" spans="1:13" x14ac:dyDescent="0.25">
      <c r="A98">
        <v>120</v>
      </c>
      <c r="B98">
        <f>HEX2DEC(Tabela1[[#This Row],[VLANStr]])</f>
        <v>288</v>
      </c>
      <c r="C98" t="s">
        <v>11</v>
      </c>
      <c r="D98">
        <f>HEX2DEC(Tabela1[[#This Row],[ecpriIDstr]])</f>
        <v>41136</v>
      </c>
      <c r="E98">
        <v>6</v>
      </c>
      <c r="F98">
        <v>1</v>
      </c>
      <c r="G98">
        <v>0</v>
      </c>
      <c r="H98">
        <v>0</v>
      </c>
      <c r="I98">
        <v>97</v>
      </c>
      <c r="J98" s="1">
        <v>0</v>
      </c>
      <c r="K98" s="1">
        <v>1</v>
      </c>
      <c r="L98">
        <v>1</v>
      </c>
      <c r="M98">
        <v>1</v>
      </c>
    </row>
    <row r="99" spans="1:13" x14ac:dyDescent="0.25">
      <c r="A99">
        <v>120</v>
      </c>
      <c r="B99" s="2">
        <f>HEX2DEC(Tabela1[[#This Row],[VLANStr]])</f>
        <v>288</v>
      </c>
      <c r="C99" t="s">
        <v>11</v>
      </c>
      <c r="D99" s="2">
        <f>HEX2DEC(Tabela1[[#This Row],[ecpriIDstr]])</f>
        <v>41136</v>
      </c>
      <c r="E99">
        <v>6</v>
      </c>
      <c r="F99">
        <v>2</v>
      </c>
      <c r="G99">
        <v>0</v>
      </c>
      <c r="H99">
        <v>0</v>
      </c>
      <c r="I99">
        <v>98</v>
      </c>
      <c r="J99" s="1">
        <v>0</v>
      </c>
      <c r="K99" s="1">
        <v>1</v>
      </c>
      <c r="L99">
        <v>1</v>
      </c>
      <c r="M99">
        <v>1</v>
      </c>
    </row>
    <row r="100" spans="1:13" x14ac:dyDescent="0.25">
      <c r="A100">
        <v>120</v>
      </c>
      <c r="B100">
        <f>HEX2DEC(Tabela1[[#This Row],[VLANStr]])</f>
        <v>288</v>
      </c>
      <c r="C100" t="s">
        <v>11</v>
      </c>
      <c r="D100">
        <f>HEX2DEC(Tabela1[[#This Row],[ecpriIDstr]])</f>
        <v>41136</v>
      </c>
      <c r="E100">
        <v>6</v>
      </c>
      <c r="F100">
        <v>3</v>
      </c>
      <c r="G100">
        <v>0</v>
      </c>
      <c r="H100">
        <v>0</v>
      </c>
      <c r="I100">
        <v>99</v>
      </c>
      <c r="J100" s="1">
        <v>0</v>
      </c>
      <c r="K100" s="1">
        <v>1</v>
      </c>
      <c r="L100">
        <v>1</v>
      </c>
      <c r="M100">
        <v>1</v>
      </c>
    </row>
    <row r="101" spans="1:13" x14ac:dyDescent="0.25">
      <c r="A101">
        <v>120</v>
      </c>
      <c r="B101">
        <f>HEX2DEC(Tabela1[[#This Row],[VLANStr]])</f>
        <v>288</v>
      </c>
      <c r="C101" t="s">
        <v>11</v>
      </c>
      <c r="D101">
        <f>HEX2DEC(Tabela1[[#This Row],[ecpriIDstr]])</f>
        <v>41136</v>
      </c>
      <c r="E101">
        <v>6</v>
      </c>
      <c r="F101">
        <v>4</v>
      </c>
      <c r="G101">
        <v>0</v>
      </c>
      <c r="H101">
        <v>0</v>
      </c>
      <c r="I101">
        <v>100</v>
      </c>
      <c r="J101" s="1">
        <v>0</v>
      </c>
      <c r="K101" s="1">
        <v>1</v>
      </c>
      <c r="L101">
        <v>1</v>
      </c>
      <c r="M101">
        <v>1</v>
      </c>
    </row>
    <row r="102" spans="1:13" x14ac:dyDescent="0.25">
      <c r="A102">
        <v>120</v>
      </c>
      <c r="B102" s="2">
        <f>HEX2DEC(Tabela1[[#This Row],[VLANStr]])</f>
        <v>288</v>
      </c>
      <c r="C102" t="s">
        <v>11</v>
      </c>
      <c r="D102" s="2">
        <f>HEX2DEC(Tabela1[[#This Row],[ecpriIDstr]])</f>
        <v>41136</v>
      </c>
      <c r="E102">
        <v>6</v>
      </c>
      <c r="F102">
        <v>5</v>
      </c>
      <c r="G102">
        <v>0</v>
      </c>
      <c r="H102">
        <v>0</v>
      </c>
      <c r="I102">
        <v>101</v>
      </c>
      <c r="J102" s="1">
        <v>0</v>
      </c>
      <c r="K102" s="1">
        <v>1</v>
      </c>
      <c r="L102">
        <v>1</v>
      </c>
      <c r="M102">
        <v>1</v>
      </c>
    </row>
    <row r="103" spans="1:13" x14ac:dyDescent="0.25">
      <c r="A103">
        <v>120</v>
      </c>
      <c r="B103">
        <f>HEX2DEC(Tabela1[[#This Row],[VLANStr]])</f>
        <v>288</v>
      </c>
      <c r="C103" t="s">
        <v>11</v>
      </c>
      <c r="D103">
        <f>HEX2DEC(Tabela1[[#This Row],[ecpriIDstr]])</f>
        <v>41136</v>
      </c>
      <c r="E103">
        <v>6</v>
      </c>
      <c r="F103">
        <v>6</v>
      </c>
      <c r="G103">
        <v>0</v>
      </c>
      <c r="H103">
        <v>0</v>
      </c>
      <c r="I103">
        <v>102</v>
      </c>
      <c r="J103" s="1">
        <v>0</v>
      </c>
      <c r="K103" s="1">
        <v>1</v>
      </c>
      <c r="L103">
        <v>1</v>
      </c>
      <c r="M103">
        <v>1</v>
      </c>
    </row>
    <row r="104" spans="1:13" x14ac:dyDescent="0.25">
      <c r="A104">
        <v>120</v>
      </c>
      <c r="B104">
        <f>HEX2DEC(Tabela1[[#This Row],[VLANStr]])</f>
        <v>288</v>
      </c>
      <c r="C104" t="s">
        <v>11</v>
      </c>
      <c r="D104">
        <f>HEX2DEC(Tabela1[[#This Row],[ecpriIDstr]])</f>
        <v>41136</v>
      </c>
      <c r="E104">
        <v>6</v>
      </c>
      <c r="F104">
        <v>7</v>
      </c>
      <c r="G104">
        <v>0</v>
      </c>
      <c r="H104">
        <v>0</v>
      </c>
      <c r="I104">
        <v>103</v>
      </c>
      <c r="J104" s="1">
        <v>0</v>
      </c>
      <c r="K104" s="1">
        <v>1</v>
      </c>
      <c r="L104">
        <v>1</v>
      </c>
      <c r="M104">
        <v>1</v>
      </c>
    </row>
    <row r="105" spans="1:13" x14ac:dyDescent="0.25">
      <c r="A105">
        <v>120</v>
      </c>
      <c r="B105" s="2">
        <f>HEX2DEC(Tabela1[[#This Row],[VLANStr]])</f>
        <v>288</v>
      </c>
      <c r="C105" t="s">
        <v>11</v>
      </c>
      <c r="D105" s="2">
        <f>HEX2DEC(Tabela1[[#This Row],[ecpriIDstr]])</f>
        <v>41136</v>
      </c>
      <c r="E105">
        <v>6</v>
      </c>
      <c r="F105">
        <v>8</v>
      </c>
      <c r="G105">
        <v>0</v>
      </c>
      <c r="H105">
        <v>0</v>
      </c>
      <c r="I105">
        <v>104</v>
      </c>
      <c r="J105" s="1">
        <v>0</v>
      </c>
      <c r="K105" s="1">
        <v>1</v>
      </c>
      <c r="L105">
        <v>1</v>
      </c>
      <c r="M105">
        <v>1</v>
      </c>
    </row>
    <row r="106" spans="1:13" x14ac:dyDescent="0.25">
      <c r="A106">
        <v>120</v>
      </c>
      <c r="B106">
        <f>HEX2DEC(Tabela1[[#This Row],[VLANStr]])</f>
        <v>288</v>
      </c>
      <c r="C106" t="s">
        <v>11</v>
      </c>
      <c r="D106">
        <f>HEX2DEC(Tabela1[[#This Row],[ecpriIDstr]])</f>
        <v>41136</v>
      </c>
      <c r="E106">
        <v>6</v>
      </c>
      <c r="F106">
        <v>9</v>
      </c>
      <c r="G106">
        <v>0</v>
      </c>
      <c r="H106">
        <v>0</v>
      </c>
      <c r="I106">
        <v>105</v>
      </c>
      <c r="J106" s="1">
        <v>0</v>
      </c>
      <c r="K106" s="1">
        <v>1</v>
      </c>
      <c r="L106">
        <v>1</v>
      </c>
      <c r="M106">
        <v>1</v>
      </c>
    </row>
    <row r="107" spans="1:13" x14ac:dyDescent="0.25">
      <c r="A107">
        <v>120</v>
      </c>
      <c r="B107">
        <f>HEX2DEC(Tabela1[[#This Row],[VLANStr]])</f>
        <v>288</v>
      </c>
      <c r="C107" t="s">
        <v>11</v>
      </c>
      <c r="D107">
        <f>HEX2DEC(Tabela1[[#This Row],[ecpriIDstr]])</f>
        <v>41136</v>
      </c>
      <c r="E107">
        <v>6</v>
      </c>
      <c r="F107">
        <v>10</v>
      </c>
      <c r="G107">
        <v>0</v>
      </c>
      <c r="H107">
        <v>0</v>
      </c>
      <c r="I107">
        <v>106</v>
      </c>
      <c r="J107" s="1">
        <v>0</v>
      </c>
      <c r="K107" s="1">
        <v>1</v>
      </c>
      <c r="L107">
        <v>1</v>
      </c>
      <c r="M107">
        <v>1</v>
      </c>
    </row>
    <row r="108" spans="1:13" x14ac:dyDescent="0.25">
      <c r="A108">
        <v>120</v>
      </c>
      <c r="B108" s="2">
        <f>HEX2DEC(Tabela1[[#This Row],[VLANStr]])</f>
        <v>288</v>
      </c>
      <c r="C108" t="s">
        <v>11</v>
      </c>
      <c r="D108" s="2">
        <f>HEX2DEC(Tabela1[[#This Row],[ecpriIDstr]])</f>
        <v>41136</v>
      </c>
      <c r="E108">
        <v>6</v>
      </c>
      <c r="F108">
        <v>11</v>
      </c>
      <c r="G108">
        <v>0</v>
      </c>
      <c r="H108">
        <v>0</v>
      </c>
      <c r="I108">
        <v>107</v>
      </c>
      <c r="J108" s="1">
        <v>0</v>
      </c>
      <c r="K108" s="1">
        <v>1</v>
      </c>
      <c r="L108">
        <v>1</v>
      </c>
      <c r="M108">
        <v>1</v>
      </c>
    </row>
    <row r="109" spans="1:13" x14ac:dyDescent="0.25">
      <c r="A109">
        <v>120</v>
      </c>
      <c r="B109">
        <f>HEX2DEC(Tabela1[[#This Row],[VLANStr]])</f>
        <v>288</v>
      </c>
      <c r="C109" t="s">
        <v>11</v>
      </c>
      <c r="D109">
        <f>HEX2DEC(Tabela1[[#This Row],[ecpriIDstr]])</f>
        <v>41136</v>
      </c>
      <c r="E109">
        <v>6</v>
      </c>
      <c r="F109">
        <v>12</v>
      </c>
      <c r="G109">
        <v>0</v>
      </c>
      <c r="H109">
        <v>0</v>
      </c>
      <c r="I109">
        <v>108</v>
      </c>
      <c r="J109" s="1">
        <v>0</v>
      </c>
      <c r="K109" s="1">
        <v>1</v>
      </c>
      <c r="L109">
        <v>1</v>
      </c>
      <c r="M109">
        <v>1</v>
      </c>
    </row>
    <row r="110" spans="1:13" x14ac:dyDescent="0.25">
      <c r="A110">
        <v>120</v>
      </c>
      <c r="B110">
        <f>HEX2DEC(Tabela1[[#This Row],[VLANStr]])</f>
        <v>288</v>
      </c>
      <c r="C110" t="s">
        <v>11</v>
      </c>
      <c r="D110">
        <f>HEX2DEC(Tabela1[[#This Row],[ecpriIDstr]])</f>
        <v>41136</v>
      </c>
      <c r="E110">
        <v>6</v>
      </c>
      <c r="F110">
        <v>13</v>
      </c>
      <c r="G110">
        <v>0</v>
      </c>
      <c r="H110">
        <v>0</v>
      </c>
      <c r="I110">
        <v>109</v>
      </c>
      <c r="J110" s="1">
        <v>0</v>
      </c>
      <c r="K110" s="1">
        <v>1</v>
      </c>
      <c r="L110">
        <v>1</v>
      </c>
      <c r="M110">
        <v>1</v>
      </c>
    </row>
    <row r="111" spans="1:13" x14ac:dyDescent="0.25">
      <c r="A111">
        <v>120</v>
      </c>
      <c r="B111" s="2">
        <f>HEX2DEC(Tabela1[[#This Row],[VLANStr]])</f>
        <v>288</v>
      </c>
      <c r="C111" t="s">
        <v>11</v>
      </c>
      <c r="D111" s="2">
        <f>HEX2DEC(Tabela1[[#This Row],[ecpriIDstr]])</f>
        <v>41136</v>
      </c>
      <c r="E111">
        <v>6</v>
      </c>
      <c r="F111">
        <v>14</v>
      </c>
      <c r="G111">
        <v>0</v>
      </c>
      <c r="H111">
        <v>0</v>
      </c>
      <c r="I111">
        <v>110</v>
      </c>
      <c r="J111" s="1">
        <v>0</v>
      </c>
      <c r="K111" s="1">
        <v>1</v>
      </c>
      <c r="L111">
        <v>1</v>
      </c>
      <c r="M111">
        <v>1</v>
      </c>
    </row>
    <row r="112" spans="1:13" x14ac:dyDescent="0.25">
      <c r="A112">
        <v>120</v>
      </c>
      <c r="B112">
        <f>HEX2DEC(Tabela1[[#This Row],[VLANStr]])</f>
        <v>288</v>
      </c>
      <c r="C112" t="s">
        <v>11</v>
      </c>
      <c r="D112">
        <f>HEX2DEC(Tabela1[[#This Row],[ecpriIDstr]])</f>
        <v>41136</v>
      </c>
      <c r="E112">
        <v>6</v>
      </c>
      <c r="F112">
        <v>15</v>
      </c>
      <c r="G112">
        <v>0</v>
      </c>
      <c r="H112">
        <v>0</v>
      </c>
      <c r="I112">
        <v>111</v>
      </c>
      <c r="J112" s="1">
        <v>0</v>
      </c>
      <c r="K112" s="1">
        <v>1</v>
      </c>
      <c r="L112">
        <v>1</v>
      </c>
      <c r="M112">
        <v>1</v>
      </c>
    </row>
    <row r="113" spans="1:13" x14ac:dyDescent="0.25">
      <c r="A113">
        <v>120</v>
      </c>
      <c r="B113">
        <f>HEX2DEC(Tabela1[[#This Row],[VLANStr]])</f>
        <v>288</v>
      </c>
      <c r="C113" t="s">
        <v>11</v>
      </c>
      <c r="D113">
        <f>HEX2DEC(Tabela1[[#This Row],[ecpriIDstr]])</f>
        <v>41136</v>
      </c>
      <c r="E113">
        <v>7</v>
      </c>
      <c r="F113">
        <v>0</v>
      </c>
      <c r="G113">
        <v>0</v>
      </c>
      <c r="H113">
        <v>0</v>
      </c>
      <c r="I113">
        <v>112</v>
      </c>
      <c r="J113" s="1">
        <v>0</v>
      </c>
      <c r="K113" s="1">
        <v>1</v>
      </c>
      <c r="L113">
        <v>1</v>
      </c>
      <c r="M113">
        <v>1</v>
      </c>
    </row>
    <row r="114" spans="1:13" x14ac:dyDescent="0.25">
      <c r="A114">
        <v>120</v>
      </c>
      <c r="B114" s="2">
        <f>HEX2DEC(Tabela1[[#This Row],[VLANStr]])</f>
        <v>288</v>
      </c>
      <c r="C114" t="s">
        <v>11</v>
      </c>
      <c r="D114" s="2">
        <f>HEX2DEC(Tabela1[[#This Row],[ecpriIDstr]])</f>
        <v>41136</v>
      </c>
      <c r="E114">
        <v>7</v>
      </c>
      <c r="F114">
        <v>1</v>
      </c>
      <c r="G114">
        <v>0</v>
      </c>
      <c r="H114">
        <v>0</v>
      </c>
      <c r="I114">
        <v>113</v>
      </c>
      <c r="J114" s="1">
        <v>0</v>
      </c>
      <c r="K114" s="1">
        <v>1</v>
      </c>
      <c r="L114">
        <v>1</v>
      </c>
      <c r="M114">
        <v>1</v>
      </c>
    </row>
    <row r="115" spans="1:13" x14ac:dyDescent="0.25">
      <c r="A115">
        <v>120</v>
      </c>
      <c r="B115">
        <f>HEX2DEC(Tabela1[[#This Row],[VLANStr]])</f>
        <v>288</v>
      </c>
      <c r="C115" t="s">
        <v>11</v>
      </c>
      <c r="D115">
        <f>HEX2DEC(Tabela1[[#This Row],[ecpriIDstr]])</f>
        <v>41136</v>
      </c>
      <c r="E115">
        <v>7</v>
      </c>
      <c r="F115">
        <v>2</v>
      </c>
      <c r="G115">
        <v>0</v>
      </c>
      <c r="H115">
        <v>0</v>
      </c>
      <c r="I115">
        <v>114</v>
      </c>
      <c r="J115" s="1">
        <v>0</v>
      </c>
      <c r="K115" s="1">
        <v>1</v>
      </c>
      <c r="L115">
        <v>1</v>
      </c>
      <c r="M115">
        <v>1</v>
      </c>
    </row>
    <row r="116" spans="1:13" x14ac:dyDescent="0.25">
      <c r="A116">
        <v>120</v>
      </c>
      <c r="B116">
        <f>HEX2DEC(Tabela1[[#This Row],[VLANStr]])</f>
        <v>288</v>
      </c>
      <c r="C116" t="s">
        <v>11</v>
      </c>
      <c r="D116">
        <f>HEX2DEC(Tabela1[[#This Row],[ecpriIDstr]])</f>
        <v>41136</v>
      </c>
      <c r="E116">
        <v>7</v>
      </c>
      <c r="F116">
        <v>3</v>
      </c>
      <c r="G116">
        <v>0</v>
      </c>
      <c r="H116">
        <v>0</v>
      </c>
      <c r="I116">
        <v>115</v>
      </c>
      <c r="J116" s="1">
        <v>0</v>
      </c>
      <c r="K116" s="1">
        <v>1</v>
      </c>
      <c r="L116">
        <v>1</v>
      </c>
      <c r="M116">
        <v>1</v>
      </c>
    </row>
    <row r="117" spans="1:13" x14ac:dyDescent="0.25">
      <c r="A117">
        <v>120</v>
      </c>
      <c r="B117" s="2">
        <f>HEX2DEC(Tabela1[[#This Row],[VLANStr]])</f>
        <v>288</v>
      </c>
      <c r="C117" t="s">
        <v>11</v>
      </c>
      <c r="D117" s="2">
        <f>HEX2DEC(Tabela1[[#This Row],[ecpriIDstr]])</f>
        <v>41136</v>
      </c>
      <c r="E117">
        <v>7</v>
      </c>
      <c r="F117">
        <v>4</v>
      </c>
      <c r="G117">
        <v>0</v>
      </c>
      <c r="H117">
        <v>0</v>
      </c>
      <c r="I117">
        <v>116</v>
      </c>
      <c r="J117" s="1">
        <v>0</v>
      </c>
      <c r="K117" s="1">
        <v>1</v>
      </c>
      <c r="L117">
        <v>1</v>
      </c>
      <c r="M117">
        <v>1</v>
      </c>
    </row>
    <row r="118" spans="1:13" x14ac:dyDescent="0.25">
      <c r="A118">
        <v>120</v>
      </c>
      <c r="B118">
        <f>HEX2DEC(Tabela1[[#This Row],[VLANStr]])</f>
        <v>288</v>
      </c>
      <c r="C118" t="s">
        <v>11</v>
      </c>
      <c r="D118">
        <f>HEX2DEC(Tabela1[[#This Row],[ecpriIDstr]])</f>
        <v>41136</v>
      </c>
      <c r="E118">
        <v>7</v>
      </c>
      <c r="F118">
        <v>5</v>
      </c>
      <c r="G118">
        <v>0</v>
      </c>
      <c r="H118">
        <v>0</v>
      </c>
      <c r="I118">
        <v>117</v>
      </c>
      <c r="J118" s="1">
        <v>0</v>
      </c>
      <c r="K118" s="1">
        <v>1</v>
      </c>
      <c r="L118">
        <v>1</v>
      </c>
      <c r="M118">
        <v>1</v>
      </c>
    </row>
    <row r="119" spans="1:13" x14ac:dyDescent="0.25">
      <c r="A119">
        <v>120</v>
      </c>
      <c r="B119">
        <f>HEX2DEC(Tabela1[[#This Row],[VLANStr]])</f>
        <v>288</v>
      </c>
      <c r="C119" t="s">
        <v>11</v>
      </c>
      <c r="D119">
        <f>HEX2DEC(Tabela1[[#This Row],[ecpriIDstr]])</f>
        <v>41136</v>
      </c>
      <c r="E119">
        <v>7</v>
      </c>
      <c r="F119">
        <v>6</v>
      </c>
      <c r="G119">
        <v>0</v>
      </c>
      <c r="H119">
        <v>0</v>
      </c>
      <c r="I119">
        <v>118</v>
      </c>
      <c r="J119" s="1">
        <v>0</v>
      </c>
      <c r="K119" s="1">
        <v>1</v>
      </c>
      <c r="L119">
        <v>1</v>
      </c>
      <c r="M119">
        <v>1</v>
      </c>
    </row>
    <row r="120" spans="1:13" x14ac:dyDescent="0.25">
      <c r="A120">
        <v>120</v>
      </c>
      <c r="B120" s="2">
        <f>HEX2DEC(Tabela1[[#This Row],[VLANStr]])</f>
        <v>288</v>
      </c>
      <c r="C120" t="s">
        <v>11</v>
      </c>
      <c r="D120" s="2">
        <f>HEX2DEC(Tabela1[[#This Row],[ecpriIDstr]])</f>
        <v>41136</v>
      </c>
      <c r="E120">
        <v>7</v>
      </c>
      <c r="F120">
        <v>7</v>
      </c>
      <c r="G120">
        <v>0</v>
      </c>
      <c r="H120">
        <v>0</v>
      </c>
      <c r="I120">
        <v>119</v>
      </c>
      <c r="J120" s="1">
        <v>0</v>
      </c>
      <c r="K120" s="1">
        <v>1</v>
      </c>
      <c r="L120">
        <v>1</v>
      </c>
      <c r="M120">
        <v>1</v>
      </c>
    </row>
    <row r="121" spans="1:13" x14ac:dyDescent="0.25">
      <c r="A121">
        <v>120</v>
      </c>
      <c r="B121">
        <f>HEX2DEC(Tabela1[[#This Row],[VLANStr]])</f>
        <v>288</v>
      </c>
      <c r="C121" t="s">
        <v>11</v>
      </c>
      <c r="D121">
        <f>HEX2DEC(Tabela1[[#This Row],[ecpriIDstr]])</f>
        <v>41136</v>
      </c>
      <c r="E121">
        <v>7</v>
      </c>
      <c r="F121">
        <v>8</v>
      </c>
      <c r="G121">
        <v>0</v>
      </c>
      <c r="H121">
        <v>0</v>
      </c>
      <c r="I121">
        <v>120</v>
      </c>
      <c r="J121" s="1">
        <v>0</v>
      </c>
      <c r="K121" s="1">
        <v>1</v>
      </c>
      <c r="L121">
        <v>1</v>
      </c>
      <c r="M121">
        <v>1</v>
      </c>
    </row>
    <row r="122" spans="1:13" x14ac:dyDescent="0.25">
      <c r="A122">
        <v>120</v>
      </c>
      <c r="B122">
        <f>HEX2DEC(Tabela1[[#This Row],[VLANStr]])</f>
        <v>288</v>
      </c>
      <c r="C122" t="s">
        <v>11</v>
      </c>
      <c r="D122">
        <f>HEX2DEC(Tabela1[[#This Row],[ecpriIDstr]])</f>
        <v>41136</v>
      </c>
      <c r="E122">
        <v>7</v>
      </c>
      <c r="F122">
        <v>9</v>
      </c>
      <c r="G122">
        <v>0</v>
      </c>
      <c r="H122">
        <v>0</v>
      </c>
      <c r="I122">
        <v>121</v>
      </c>
      <c r="J122" s="1">
        <v>0</v>
      </c>
      <c r="K122" s="1">
        <v>1</v>
      </c>
      <c r="L122">
        <v>1</v>
      </c>
      <c r="M122">
        <v>1</v>
      </c>
    </row>
    <row r="123" spans="1:13" x14ac:dyDescent="0.25">
      <c r="A123">
        <v>120</v>
      </c>
      <c r="B123" s="2">
        <f>HEX2DEC(Tabela1[[#This Row],[VLANStr]])</f>
        <v>288</v>
      </c>
      <c r="C123" t="s">
        <v>11</v>
      </c>
      <c r="D123" s="2">
        <f>HEX2DEC(Tabela1[[#This Row],[ecpriIDstr]])</f>
        <v>41136</v>
      </c>
      <c r="E123">
        <v>7</v>
      </c>
      <c r="F123">
        <v>10</v>
      </c>
      <c r="G123">
        <v>0</v>
      </c>
      <c r="H123">
        <v>0</v>
      </c>
      <c r="I123">
        <v>122</v>
      </c>
      <c r="J123" s="1">
        <v>0</v>
      </c>
      <c r="K123" s="1">
        <v>1</v>
      </c>
      <c r="L123">
        <v>1</v>
      </c>
      <c r="M123">
        <v>1</v>
      </c>
    </row>
    <row r="124" spans="1:13" x14ac:dyDescent="0.25">
      <c r="A124">
        <v>120</v>
      </c>
      <c r="B124">
        <f>HEX2DEC(Tabela1[[#This Row],[VLANStr]])</f>
        <v>288</v>
      </c>
      <c r="C124" t="s">
        <v>11</v>
      </c>
      <c r="D124">
        <f>HEX2DEC(Tabela1[[#This Row],[ecpriIDstr]])</f>
        <v>41136</v>
      </c>
      <c r="E124">
        <v>7</v>
      </c>
      <c r="F124">
        <v>11</v>
      </c>
      <c r="G124">
        <v>0</v>
      </c>
      <c r="H124">
        <v>0</v>
      </c>
      <c r="I124">
        <v>123</v>
      </c>
      <c r="J124" s="1">
        <v>0</v>
      </c>
      <c r="K124" s="1">
        <v>1</v>
      </c>
      <c r="L124">
        <v>1</v>
      </c>
      <c r="M124">
        <v>1</v>
      </c>
    </row>
    <row r="125" spans="1:13" x14ac:dyDescent="0.25">
      <c r="A125">
        <v>120</v>
      </c>
      <c r="B125">
        <f>HEX2DEC(Tabela1[[#This Row],[VLANStr]])</f>
        <v>288</v>
      </c>
      <c r="C125" t="s">
        <v>11</v>
      </c>
      <c r="D125">
        <f>HEX2DEC(Tabela1[[#This Row],[ecpriIDstr]])</f>
        <v>41136</v>
      </c>
      <c r="E125">
        <v>7</v>
      </c>
      <c r="F125">
        <v>12</v>
      </c>
      <c r="G125">
        <v>0</v>
      </c>
      <c r="H125">
        <v>0</v>
      </c>
      <c r="I125">
        <v>124</v>
      </c>
      <c r="J125" s="1">
        <v>0</v>
      </c>
      <c r="K125" s="1">
        <v>1</v>
      </c>
      <c r="L125">
        <v>1</v>
      </c>
      <c r="M125">
        <v>1</v>
      </c>
    </row>
    <row r="126" spans="1:13" x14ac:dyDescent="0.25">
      <c r="A126">
        <v>120</v>
      </c>
      <c r="B126" s="2">
        <f>HEX2DEC(Tabela1[[#This Row],[VLANStr]])</f>
        <v>288</v>
      </c>
      <c r="C126" t="s">
        <v>11</v>
      </c>
      <c r="D126" s="2">
        <f>HEX2DEC(Tabela1[[#This Row],[ecpriIDstr]])</f>
        <v>41136</v>
      </c>
      <c r="E126">
        <v>7</v>
      </c>
      <c r="F126">
        <v>13</v>
      </c>
      <c r="G126">
        <v>0</v>
      </c>
      <c r="H126">
        <v>0</v>
      </c>
      <c r="I126">
        <v>125</v>
      </c>
      <c r="J126" s="1">
        <v>0</v>
      </c>
      <c r="K126" s="1">
        <v>1</v>
      </c>
      <c r="L126">
        <v>1</v>
      </c>
      <c r="M126">
        <v>1</v>
      </c>
    </row>
    <row r="127" spans="1:13" x14ac:dyDescent="0.25">
      <c r="A127">
        <v>120</v>
      </c>
      <c r="B127">
        <f>HEX2DEC(Tabela1[[#This Row],[VLANStr]])</f>
        <v>288</v>
      </c>
      <c r="C127" t="s">
        <v>11</v>
      </c>
      <c r="D127">
        <f>HEX2DEC(Tabela1[[#This Row],[ecpriIDstr]])</f>
        <v>41136</v>
      </c>
      <c r="E127">
        <v>7</v>
      </c>
      <c r="F127">
        <v>14</v>
      </c>
      <c r="G127">
        <v>0</v>
      </c>
      <c r="H127">
        <v>0</v>
      </c>
      <c r="I127">
        <v>126</v>
      </c>
      <c r="J127" s="1">
        <v>0</v>
      </c>
      <c r="K127" s="1">
        <v>1</v>
      </c>
      <c r="L127">
        <v>1</v>
      </c>
      <c r="M127">
        <v>1</v>
      </c>
    </row>
    <row r="128" spans="1:13" x14ac:dyDescent="0.25">
      <c r="A128">
        <v>120</v>
      </c>
      <c r="B128">
        <f>HEX2DEC(Tabela1[[#This Row],[VLANStr]])</f>
        <v>288</v>
      </c>
      <c r="C128" t="s">
        <v>11</v>
      </c>
      <c r="D128">
        <f>HEX2DEC(Tabela1[[#This Row],[ecpriIDstr]])</f>
        <v>41136</v>
      </c>
      <c r="E128">
        <v>7</v>
      </c>
      <c r="F128">
        <v>15</v>
      </c>
      <c r="G128">
        <v>0</v>
      </c>
      <c r="H128">
        <v>0</v>
      </c>
      <c r="I128">
        <v>127</v>
      </c>
      <c r="J128" s="1">
        <v>0</v>
      </c>
      <c r="K128" s="1">
        <v>1</v>
      </c>
      <c r="L128">
        <v>1</v>
      </c>
      <c r="M128">
        <v>1</v>
      </c>
    </row>
    <row r="129" spans="1:13" x14ac:dyDescent="0.25">
      <c r="A129">
        <v>120</v>
      </c>
      <c r="B129" s="2">
        <f>HEX2DEC(Tabela1[[#This Row],[VLANStr]])</f>
        <v>288</v>
      </c>
      <c r="C129" t="s">
        <v>11</v>
      </c>
      <c r="D129" s="2">
        <f>HEX2DEC(Tabela1[[#This Row],[ecpriIDstr]])</f>
        <v>41136</v>
      </c>
      <c r="E129">
        <v>8</v>
      </c>
      <c r="F129">
        <v>0</v>
      </c>
      <c r="G129">
        <v>0</v>
      </c>
      <c r="H129">
        <v>0</v>
      </c>
      <c r="I129">
        <v>128</v>
      </c>
      <c r="J129" s="1">
        <v>0</v>
      </c>
      <c r="K129" s="1">
        <v>1</v>
      </c>
      <c r="L129">
        <v>1</v>
      </c>
      <c r="M129">
        <v>1</v>
      </c>
    </row>
    <row r="130" spans="1:13" x14ac:dyDescent="0.25">
      <c r="A130">
        <v>120</v>
      </c>
      <c r="B130">
        <f>HEX2DEC(Tabela1[[#This Row],[VLANStr]])</f>
        <v>288</v>
      </c>
      <c r="C130" t="s">
        <v>11</v>
      </c>
      <c r="D130">
        <f>HEX2DEC(Tabela1[[#This Row],[ecpriIDstr]])</f>
        <v>41136</v>
      </c>
      <c r="E130">
        <v>8</v>
      </c>
      <c r="F130">
        <v>1</v>
      </c>
      <c r="G130">
        <v>0</v>
      </c>
      <c r="H130">
        <v>0</v>
      </c>
      <c r="I130">
        <v>129</v>
      </c>
      <c r="J130" s="1">
        <v>0</v>
      </c>
      <c r="K130" s="1">
        <v>1</v>
      </c>
      <c r="L130">
        <v>1</v>
      </c>
      <c r="M130">
        <v>1</v>
      </c>
    </row>
    <row r="131" spans="1:13" x14ac:dyDescent="0.25">
      <c r="A131">
        <v>120</v>
      </c>
      <c r="B131">
        <f>HEX2DEC(Tabela1[[#This Row],[VLANStr]])</f>
        <v>288</v>
      </c>
      <c r="C131" t="s">
        <v>11</v>
      </c>
      <c r="D131">
        <f>HEX2DEC(Tabela1[[#This Row],[ecpriIDstr]])</f>
        <v>41136</v>
      </c>
      <c r="E131">
        <v>8</v>
      </c>
      <c r="F131">
        <v>2</v>
      </c>
      <c r="G131">
        <v>0</v>
      </c>
      <c r="H131">
        <v>0</v>
      </c>
      <c r="I131">
        <v>130</v>
      </c>
      <c r="J131" s="1">
        <v>0</v>
      </c>
      <c r="K131" s="1">
        <v>1</v>
      </c>
      <c r="L131">
        <v>1</v>
      </c>
      <c r="M131">
        <v>1</v>
      </c>
    </row>
    <row r="132" spans="1:13" x14ac:dyDescent="0.25">
      <c r="A132">
        <v>120</v>
      </c>
      <c r="B132" s="2">
        <f>HEX2DEC(Tabela1[[#This Row],[VLANStr]])</f>
        <v>288</v>
      </c>
      <c r="C132" t="s">
        <v>11</v>
      </c>
      <c r="D132" s="2">
        <f>HEX2DEC(Tabela1[[#This Row],[ecpriIDstr]])</f>
        <v>41136</v>
      </c>
      <c r="E132">
        <v>8</v>
      </c>
      <c r="F132">
        <v>3</v>
      </c>
      <c r="G132">
        <v>0</v>
      </c>
      <c r="H132">
        <v>0</v>
      </c>
      <c r="I132">
        <v>131</v>
      </c>
      <c r="J132" s="1">
        <v>0</v>
      </c>
      <c r="K132" s="1">
        <v>1</v>
      </c>
      <c r="L132">
        <v>1</v>
      </c>
      <c r="M132">
        <v>1</v>
      </c>
    </row>
    <row r="133" spans="1:13" x14ac:dyDescent="0.25">
      <c r="A133">
        <v>120</v>
      </c>
      <c r="B133">
        <f>HEX2DEC(Tabela1[[#This Row],[VLANStr]])</f>
        <v>288</v>
      </c>
      <c r="C133" t="s">
        <v>11</v>
      </c>
      <c r="D133">
        <f>HEX2DEC(Tabela1[[#This Row],[ecpriIDstr]])</f>
        <v>41136</v>
      </c>
      <c r="E133">
        <v>8</v>
      </c>
      <c r="F133">
        <v>4</v>
      </c>
      <c r="G133">
        <v>0</v>
      </c>
      <c r="H133">
        <v>0</v>
      </c>
      <c r="I133">
        <v>132</v>
      </c>
      <c r="J133" s="1">
        <v>0</v>
      </c>
      <c r="K133" s="1">
        <v>1</v>
      </c>
      <c r="L133">
        <v>1</v>
      </c>
      <c r="M133">
        <v>1</v>
      </c>
    </row>
    <row r="134" spans="1:13" x14ac:dyDescent="0.25">
      <c r="A134">
        <v>120</v>
      </c>
      <c r="B134">
        <f>HEX2DEC(Tabela1[[#This Row],[VLANStr]])</f>
        <v>288</v>
      </c>
      <c r="C134" t="s">
        <v>11</v>
      </c>
      <c r="D134">
        <f>HEX2DEC(Tabela1[[#This Row],[ecpriIDstr]])</f>
        <v>41136</v>
      </c>
      <c r="E134">
        <v>8</v>
      </c>
      <c r="F134">
        <v>5</v>
      </c>
      <c r="G134">
        <v>0</v>
      </c>
      <c r="H134">
        <v>0</v>
      </c>
      <c r="I134">
        <v>133</v>
      </c>
      <c r="J134" s="1">
        <v>0</v>
      </c>
      <c r="K134" s="1">
        <v>1</v>
      </c>
      <c r="L134">
        <v>1</v>
      </c>
      <c r="M134">
        <v>1</v>
      </c>
    </row>
    <row r="135" spans="1:13" x14ac:dyDescent="0.25">
      <c r="A135">
        <v>120</v>
      </c>
      <c r="B135" s="2">
        <f>HEX2DEC(Tabela1[[#This Row],[VLANStr]])</f>
        <v>288</v>
      </c>
      <c r="C135" t="s">
        <v>11</v>
      </c>
      <c r="D135" s="2">
        <f>HEX2DEC(Tabela1[[#This Row],[ecpriIDstr]])</f>
        <v>41136</v>
      </c>
      <c r="E135">
        <v>8</v>
      </c>
      <c r="F135">
        <v>6</v>
      </c>
      <c r="G135">
        <v>0</v>
      </c>
      <c r="H135">
        <v>0</v>
      </c>
      <c r="I135">
        <v>134</v>
      </c>
      <c r="J135" s="1">
        <v>0</v>
      </c>
      <c r="K135" s="1">
        <v>1</v>
      </c>
      <c r="L135">
        <v>1</v>
      </c>
      <c r="M135">
        <v>1</v>
      </c>
    </row>
    <row r="136" spans="1:13" x14ac:dyDescent="0.25">
      <c r="A136">
        <v>120</v>
      </c>
      <c r="B136">
        <f>HEX2DEC(Tabela1[[#This Row],[VLANStr]])</f>
        <v>288</v>
      </c>
      <c r="C136" t="s">
        <v>11</v>
      </c>
      <c r="D136">
        <f>HEX2DEC(Tabela1[[#This Row],[ecpriIDstr]])</f>
        <v>41136</v>
      </c>
      <c r="E136">
        <v>8</v>
      </c>
      <c r="F136">
        <v>7</v>
      </c>
      <c r="G136">
        <v>0</v>
      </c>
      <c r="H136">
        <v>0</v>
      </c>
      <c r="I136">
        <v>135</v>
      </c>
      <c r="J136" s="1">
        <v>0</v>
      </c>
      <c r="K136" s="1">
        <v>1</v>
      </c>
      <c r="L136">
        <v>1</v>
      </c>
      <c r="M136">
        <v>1</v>
      </c>
    </row>
    <row r="137" spans="1:13" x14ac:dyDescent="0.25">
      <c r="A137">
        <v>120</v>
      </c>
      <c r="B137">
        <f>HEX2DEC(Tabela1[[#This Row],[VLANStr]])</f>
        <v>288</v>
      </c>
      <c r="C137" t="s">
        <v>11</v>
      </c>
      <c r="D137">
        <f>HEX2DEC(Tabela1[[#This Row],[ecpriIDstr]])</f>
        <v>41136</v>
      </c>
      <c r="E137">
        <v>8</v>
      </c>
      <c r="F137">
        <v>8</v>
      </c>
      <c r="G137">
        <v>0</v>
      </c>
      <c r="H137">
        <v>0</v>
      </c>
      <c r="I137">
        <v>136</v>
      </c>
      <c r="J137" s="1">
        <v>0</v>
      </c>
      <c r="K137" s="1">
        <v>1</v>
      </c>
      <c r="L137">
        <v>1</v>
      </c>
      <c r="M137">
        <v>1</v>
      </c>
    </row>
    <row r="138" spans="1:13" x14ac:dyDescent="0.25">
      <c r="A138">
        <v>120</v>
      </c>
      <c r="B138" s="2">
        <f>HEX2DEC(Tabela1[[#This Row],[VLANStr]])</f>
        <v>288</v>
      </c>
      <c r="C138" t="s">
        <v>11</v>
      </c>
      <c r="D138" s="2">
        <f>HEX2DEC(Tabela1[[#This Row],[ecpriIDstr]])</f>
        <v>41136</v>
      </c>
      <c r="E138">
        <v>8</v>
      </c>
      <c r="F138">
        <v>9</v>
      </c>
      <c r="G138">
        <v>0</v>
      </c>
      <c r="H138">
        <v>0</v>
      </c>
      <c r="I138">
        <v>137</v>
      </c>
      <c r="J138" s="1">
        <v>0</v>
      </c>
      <c r="K138" s="1">
        <v>1</v>
      </c>
      <c r="L138">
        <v>1</v>
      </c>
      <c r="M138">
        <v>1</v>
      </c>
    </row>
    <row r="139" spans="1:13" x14ac:dyDescent="0.25">
      <c r="A139">
        <v>120</v>
      </c>
      <c r="B139">
        <f>HEX2DEC(Tabela1[[#This Row],[VLANStr]])</f>
        <v>288</v>
      </c>
      <c r="C139" t="s">
        <v>11</v>
      </c>
      <c r="D139">
        <f>HEX2DEC(Tabela1[[#This Row],[ecpriIDstr]])</f>
        <v>41136</v>
      </c>
      <c r="E139">
        <v>8</v>
      </c>
      <c r="F139">
        <v>10</v>
      </c>
      <c r="G139">
        <v>0</v>
      </c>
      <c r="H139">
        <v>0</v>
      </c>
      <c r="I139">
        <v>138</v>
      </c>
      <c r="J139" s="1">
        <v>0</v>
      </c>
      <c r="K139" s="1">
        <v>1</v>
      </c>
      <c r="L139">
        <v>1</v>
      </c>
      <c r="M139">
        <v>1</v>
      </c>
    </row>
    <row r="140" spans="1:13" x14ac:dyDescent="0.25">
      <c r="A140">
        <v>120</v>
      </c>
      <c r="B140">
        <f>HEX2DEC(Tabela1[[#This Row],[VLANStr]])</f>
        <v>288</v>
      </c>
      <c r="C140" t="s">
        <v>11</v>
      </c>
      <c r="D140">
        <f>HEX2DEC(Tabela1[[#This Row],[ecpriIDstr]])</f>
        <v>41136</v>
      </c>
      <c r="E140">
        <v>8</v>
      </c>
      <c r="F140">
        <v>11</v>
      </c>
      <c r="G140">
        <v>0</v>
      </c>
      <c r="H140">
        <v>0</v>
      </c>
      <c r="I140">
        <v>139</v>
      </c>
      <c r="J140" s="1">
        <v>0</v>
      </c>
      <c r="K140" s="1">
        <v>1</v>
      </c>
      <c r="L140">
        <v>1</v>
      </c>
      <c r="M140">
        <v>1</v>
      </c>
    </row>
    <row r="141" spans="1:13" x14ac:dyDescent="0.25">
      <c r="A141">
        <v>120</v>
      </c>
      <c r="B141" s="2">
        <f>HEX2DEC(Tabela1[[#This Row],[VLANStr]])</f>
        <v>288</v>
      </c>
      <c r="C141" t="s">
        <v>11</v>
      </c>
      <c r="D141" s="2">
        <f>HEX2DEC(Tabela1[[#This Row],[ecpriIDstr]])</f>
        <v>41136</v>
      </c>
      <c r="E141">
        <v>8</v>
      </c>
      <c r="F141">
        <v>12</v>
      </c>
      <c r="G141">
        <v>0</v>
      </c>
      <c r="H141">
        <v>0</v>
      </c>
      <c r="I141">
        <v>140</v>
      </c>
      <c r="J141" s="1">
        <v>0</v>
      </c>
      <c r="K141" s="1">
        <v>1</v>
      </c>
      <c r="L141">
        <v>1</v>
      </c>
      <c r="M141">
        <v>1</v>
      </c>
    </row>
    <row r="142" spans="1:13" x14ac:dyDescent="0.25">
      <c r="A142">
        <v>120</v>
      </c>
      <c r="B142">
        <f>HEX2DEC(Tabela1[[#This Row],[VLANStr]])</f>
        <v>288</v>
      </c>
      <c r="C142" t="s">
        <v>11</v>
      </c>
      <c r="D142">
        <f>HEX2DEC(Tabela1[[#This Row],[ecpriIDstr]])</f>
        <v>41136</v>
      </c>
      <c r="E142">
        <v>8</v>
      </c>
      <c r="F142">
        <v>13</v>
      </c>
      <c r="G142">
        <v>0</v>
      </c>
      <c r="H142">
        <v>0</v>
      </c>
      <c r="I142">
        <v>141</v>
      </c>
      <c r="J142" s="1">
        <v>0</v>
      </c>
      <c r="K142" s="1">
        <v>1</v>
      </c>
      <c r="L142">
        <v>1</v>
      </c>
      <c r="M142">
        <v>1</v>
      </c>
    </row>
    <row r="143" spans="1:13" x14ac:dyDescent="0.25">
      <c r="A143">
        <v>120</v>
      </c>
      <c r="B143">
        <f>HEX2DEC(Tabela1[[#This Row],[VLANStr]])</f>
        <v>288</v>
      </c>
      <c r="C143" t="s">
        <v>11</v>
      </c>
      <c r="D143">
        <f>HEX2DEC(Tabela1[[#This Row],[ecpriIDstr]])</f>
        <v>41136</v>
      </c>
      <c r="E143">
        <v>8</v>
      </c>
      <c r="F143">
        <v>14</v>
      </c>
      <c r="G143">
        <v>0</v>
      </c>
      <c r="H143">
        <v>0</v>
      </c>
      <c r="I143">
        <v>142</v>
      </c>
      <c r="J143" s="1">
        <v>0</v>
      </c>
      <c r="K143" s="1">
        <v>1</v>
      </c>
      <c r="L143">
        <v>1</v>
      </c>
      <c r="M143">
        <v>1</v>
      </c>
    </row>
    <row r="144" spans="1:13" x14ac:dyDescent="0.25">
      <c r="A144">
        <v>120</v>
      </c>
      <c r="B144" s="2">
        <f>HEX2DEC(Tabela1[[#This Row],[VLANStr]])</f>
        <v>288</v>
      </c>
      <c r="C144" t="s">
        <v>11</v>
      </c>
      <c r="D144" s="2">
        <f>HEX2DEC(Tabela1[[#This Row],[ecpriIDstr]])</f>
        <v>41136</v>
      </c>
      <c r="E144">
        <v>8</v>
      </c>
      <c r="F144">
        <v>15</v>
      </c>
      <c r="G144">
        <v>0</v>
      </c>
      <c r="H144">
        <v>0</v>
      </c>
      <c r="I144">
        <v>143</v>
      </c>
      <c r="J144" s="1">
        <v>0</v>
      </c>
      <c r="K144" s="1">
        <v>1</v>
      </c>
      <c r="L144">
        <v>1</v>
      </c>
      <c r="M144">
        <v>1</v>
      </c>
    </row>
    <row r="145" spans="1:13" x14ac:dyDescent="0.25">
      <c r="A145">
        <v>120</v>
      </c>
      <c r="B145">
        <f>HEX2DEC(Tabela1[[#This Row],[VLANStr]])</f>
        <v>288</v>
      </c>
      <c r="C145" t="s">
        <v>11</v>
      </c>
      <c r="D145">
        <f>HEX2DEC(Tabela1[[#This Row],[ecpriIDstr]])</f>
        <v>41136</v>
      </c>
      <c r="E145">
        <v>9</v>
      </c>
      <c r="F145">
        <v>0</v>
      </c>
      <c r="G145">
        <v>0</v>
      </c>
      <c r="H145">
        <v>0</v>
      </c>
      <c r="I145">
        <v>144</v>
      </c>
      <c r="J145" s="1">
        <v>0</v>
      </c>
      <c r="K145" s="1">
        <v>1</v>
      </c>
      <c r="L145">
        <v>1</v>
      </c>
      <c r="M145">
        <v>1</v>
      </c>
    </row>
    <row r="146" spans="1:13" x14ac:dyDescent="0.25">
      <c r="A146">
        <v>120</v>
      </c>
      <c r="B146">
        <f>HEX2DEC(Tabela1[[#This Row],[VLANStr]])</f>
        <v>288</v>
      </c>
      <c r="C146" t="s">
        <v>11</v>
      </c>
      <c r="D146">
        <f>HEX2DEC(Tabela1[[#This Row],[ecpriIDstr]])</f>
        <v>41136</v>
      </c>
      <c r="E146">
        <v>9</v>
      </c>
      <c r="F146">
        <v>1</v>
      </c>
      <c r="G146">
        <v>0</v>
      </c>
      <c r="H146">
        <v>0</v>
      </c>
      <c r="I146">
        <v>145</v>
      </c>
      <c r="J146" s="1">
        <v>0</v>
      </c>
      <c r="K146" s="1">
        <v>1</v>
      </c>
      <c r="L146">
        <v>1</v>
      </c>
      <c r="M146">
        <v>1</v>
      </c>
    </row>
    <row r="147" spans="1:13" x14ac:dyDescent="0.25">
      <c r="A147">
        <v>120</v>
      </c>
      <c r="B147" s="2">
        <f>HEX2DEC(Tabela1[[#This Row],[VLANStr]])</f>
        <v>288</v>
      </c>
      <c r="C147" t="s">
        <v>11</v>
      </c>
      <c r="D147" s="2">
        <f>HEX2DEC(Tabela1[[#This Row],[ecpriIDstr]])</f>
        <v>41136</v>
      </c>
      <c r="E147">
        <v>9</v>
      </c>
      <c r="F147">
        <v>2</v>
      </c>
      <c r="G147">
        <v>0</v>
      </c>
      <c r="H147">
        <v>0</v>
      </c>
      <c r="I147">
        <v>146</v>
      </c>
      <c r="J147" s="1">
        <v>0</v>
      </c>
      <c r="K147" s="1">
        <v>1</v>
      </c>
      <c r="L147">
        <v>1</v>
      </c>
      <c r="M147">
        <v>1</v>
      </c>
    </row>
    <row r="148" spans="1:13" x14ac:dyDescent="0.25">
      <c r="A148">
        <v>120</v>
      </c>
      <c r="B148">
        <f>HEX2DEC(Tabela1[[#This Row],[VLANStr]])</f>
        <v>288</v>
      </c>
      <c r="C148" t="s">
        <v>11</v>
      </c>
      <c r="D148">
        <f>HEX2DEC(Tabela1[[#This Row],[ecpriIDstr]])</f>
        <v>41136</v>
      </c>
      <c r="E148">
        <v>9</v>
      </c>
      <c r="F148">
        <v>3</v>
      </c>
      <c r="G148">
        <v>0</v>
      </c>
      <c r="H148">
        <v>0</v>
      </c>
      <c r="I148">
        <v>147</v>
      </c>
      <c r="J148" s="1">
        <v>0</v>
      </c>
      <c r="K148" s="1">
        <v>1</v>
      </c>
      <c r="L148">
        <v>1</v>
      </c>
      <c r="M148">
        <v>1</v>
      </c>
    </row>
    <row r="149" spans="1:13" x14ac:dyDescent="0.25">
      <c r="A149">
        <v>120</v>
      </c>
      <c r="B149">
        <f>HEX2DEC(Tabela1[[#This Row],[VLANStr]])</f>
        <v>288</v>
      </c>
      <c r="C149" t="s">
        <v>11</v>
      </c>
      <c r="D149">
        <f>HEX2DEC(Tabela1[[#This Row],[ecpriIDstr]])</f>
        <v>41136</v>
      </c>
      <c r="E149">
        <v>9</v>
      </c>
      <c r="F149">
        <v>4</v>
      </c>
      <c r="G149">
        <v>0</v>
      </c>
      <c r="H149">
        <v>0</v>
      </c>
      <c r="I149">
        <v>148</v>
      </c>
      <c r="J149" s="1">
        <v>0</v>
      </c>
      <c r="K149" s="1">
        <v>1</v>
      </c>
      <c r="L149">
        <v>1</v>
      </c>
      <c r="M149">
        <v>1</v>
      </c>
    </row>
    <row r="150" spans="1:13" x14ac:dyDescent="0.25">
      <c r="A150">
        <v>120</v>
      </c>
      <c r="B150" s="2">
        <f>HEX2DEC(Tabela1[[#This Row],[VLANStr]])</f>
        <v>288</v>
      </c>
      <c r="C150" t="s">
        <v>11</v>
      </c>
      <c r="D150" s="2">
        <f>HEX2DEC(Tabela1[[#This Row],[ecpriIDstr]])</f>
        <v>41136</v>
      </c>
      <c r="E150">
        <v>9</v>
      </c>
      <c r="F150">
        <v>5</v>
      </c>
      <c r="G150">
        <v>0</v>
      </c>
      <c r="H150">
        <v>0</v>
      </c>
      <c r="I150">
        <v>149</v>
      </c>
      <c r="J150" s="1">
        <v>0</v>
      </c>
      <c r="K150" s="1">
        <v>1</v>
      </c>
      <c r="L150">
        <v>1</v>
      </c>
      <c r="M150">
        <v>1</v>
      </c>
    </row>
    <row r="151" spans="1:13" x14ac:dyDescent="0.25">
      <c r="A151">
        <v>120</v>
      </c>
      <c r="B151">
        <f>HEX2DEC(Tabela1[[#This Row],[VLANStr]])</f>
        <v>288</v>
      </c>
      <c r="C151" t="s">
        <v>11</v>
      </c>
      <c r="D151">
        <f>HEX2DEC(Tabela1[[#This Row],[ecpriIDstr]])</f>
        <v>41136</v>
      </c>
      <c r="E151">
        <v>9</v>
      </c>
      <c r="F151">
        <v>6</v>
      </c>
      <c r="G151">
        <v>0</v>
      </c>
      <c r="H151">
        <v>0</v>
      </c>
      <c r="I151">
        <v>150</v>
      </c>
      <c r="J151" s="1">
        <v>0</v>
      </c>
      <c r="K151" s="1">
        <v>1</v>
      </c>
      <c r="L151">
        <v>1</v>
      </c>
      <c r="M151">
        <v>1</v>
      </c>
    </row>
    <row r="152" spans="1:13" x14ac:dyDescent="0.25">
      <c r="A152">
        <v>120</v>
      </c>
      <c r="B152">
        <f>HEX2DEC(Tabela1[[#This Row],[VLANStr]])</f>
        <v>288</v>
      </c>
      <c r="C152" t="s">
        <v>11</v>
      </c>
      <c r="D152">
        <f>HEX2DEC(Tabela1[[#This Row],[ecpriIDstr]])</f>
        <v>41136</v>
      </c>
      <c r="E152">
        <v>9</v>
      </c>
      <c r="F152">
        <v>7</v>
      </c>
      <c r="G152">
        <v>0</v>
      </c>
      <c r="H152">
        <v>0</v>
      </c>
      <c r="I152">
        <v>151</v>
      </c>
      <c r="J152" s="1">
        <v>0</v>
      </c>
      <c r="K152" s="1">
        <v>1</v>
      </c>
      <c r="L152">
        <v>1</v>
      </c>
      <c r="M152">
        <v>1</v>
      </c>
    </row>
    <row r="153" spans="1:13" x14ac:dyDescent="0.25">
      <c r="A153">
        <v>120</v>
      </c>
      <c r="B153" s="2">
        <f>HEX2DEC(Tabela1[[#This Row],[VLANStr]])</f>
        <v>288</v>
      </c>
      <c r="C153" t="s">
        <v>11</v>
      </c>
      <c r="D153" s="2">
        <f>HEX2DEC(Tabela1[[#This Row],[ecpriIDstr]])</f>
        <v>41136</v>
      </c>
      <c r="E153">
        <v>9</v>
      </c>
      <c r="F153">
        <v>8</v>
      </c>
      <c r="G153">
        <v>0</v>
      </c>
      <c r="H153">
        <v>0</v>
      </c>
      <c r="I153">
        <v>152</v>
      </c>
      <c r="J153" s="1">
        <v>0</v>
      </c>
      <c r="K153" s="1">
        <v>1</v>
      </c>
      <c r="L153">
        <v>1</v>
      </c>
      <c r="M153">
        <v>1</v>
      </c>
    </row>
    <row r="154" spans="1:13" x14ac:dyDescent="0.25">
      <c r="A154">
        <v>120</v>
      </c>
      <c r="B154">
        <f>HEX2DEC(Tabela1[[#This Row],[VLANStr]])</f>
        <v>288</v>
      </c>
      <c r="C154" t="s">
        <v>11</v>
      </c>
      <c r="D154">
        <f>HEX2DEC(Tabela1[[#This Row],[ecpriIDstr]])</f>
        <v>41136</v>
      </c>
      <c r="E154">
        <v>9</v>
      </c>
      <c r="F154">
        <v>9</v>
      </c>
      <c r="G154">
        <v>0</v>
      </c>
      <c r="H154">
        <v>0</v>
      </c>
      <c r="I154">
        <v>153</v>
      </c>
      <c r="J154" s="1">
        <v>0</v>
      </c>
      <c r="K154" s="1">
        <v>1</v>
      </c>
      <c r="L154">
        <v>1</v>
      </c>
      <c r="M154">
        <v>1</v>
      </c>
    </row>
    <row r="155" spans="1:13" x14ac:dyDescent="0.25">
      <c r="A155">
        <v>120</v>
      </c>
      <c r="B155">
        <f>HEX2DEC(Tabela1[[#This Row],[VLANStr]])</f>
        <v>288</v>
      </c>
      <c r="C155" t="s">
        <v>11</v>
      </c>
      <c r="D155">
        <f>HEX2DEC(Tabela1[[#This Row],[ecpriIDstr]])</f>
        <v>41136</v>
      </c>
      <c r="E155">
        <v>9</v>
      </c>
      <c r="F155">
        <v>10</v>
      </c>
      <c r="G155">
        <v>0</v>
      </c>
      <c r="H155">
        <v>0</v>
      </c>
      <c r="I155">
        <v>154</v>
      </c>
      <c r="J155" s="1">
        <v>0</v>
      </c>
      <c r="K155" s="1">
        <v>1</v>
      </c>
      <c r="L155">
        <v>1</v>
      </c>
      <c r="M155">
        <v>1</v>
      </c>
    </row>
    <row r="156" spans="1:13" x14ac:dyDescent="0.25">
      <c r="A156">
        <v>120</v>
      </c>
      <c r="B156" s="2">
        <f>HEX2DEC(Tabela1[[#This Row],[VLANStr]])</f>
        <v>288</v>
      </c>
      <c r="C156" t="s">
        <v>11</v>
      </c>
      <c r="D156" s="2">
        <f>HEX2DEC(Tabela1[[#This Row],[ecpriIDstr]])</f>
        <v>41136</v>
      </c>
      <c r="E156">
        <v>9</v>
      </c>
      <c r="F156">
        <v>11</v>
      </c>
      <c r="G156">
        <v>0</v>
      </c>
      <c r="H156">
        <v>0</v>
      </c>
      <c r="I156">
        <v>155</v>
      </c>
      <c r="J156" s="1">
        <v>0</v>
      </c>
      <c r="K156" s="1">
        <v>1</v>
      </c>
      <c r="L156">
        <v>1</v>
      </c>
      <c r="M156">
        <v>1</v>
      </c>
    </row>
    <row r="157" spans="1:13" x14ac:dyDescent="0.25">
      <c r="A157">
        <v>120</v>
      </c>
      <c r="B157">
        <f>HEX2DEC(Tabela1[[#This Row],[VLANStr]])</f>
        <v>288</v>
      </c>
      <c r="C157" t="s">
        <v>11</v>
      </c>
      <c r="D157">
        <f>HEX2DEC(Tabela1[[#This Row],[ecpriIDstr]])</f>
        <v>41136</v>
      </c>
      <c r="E157">
        <v>9</v>
      </c>
      <c r="F157">
        <v>12</v>
      </c>
      <c r="G157">
        <v>0</v>
      </c>
      <c r="H157">
        <v>0</v>
      </c>
      <c r="I157">
        <v>156</v>
      </c>
      <c r="J157" s="1">
        <v>0</v>
      </c>
      <c r="K157" s="1">
        <v>1</v>
      </c>
      <c r="L157">
        <v>1</v>
      </c>
      <c r="M157">
        <v>1</v>
      </c>
    </row>
    <row r="158" spans="1:13" x14ac:dyDescent="0.25">
      <c r="A158">
        <v>120</v>
      </c>
      <c r="B158">
        <f>HEX2DEC(Tabela1[[#This Row],[VLANStr]])</f>
        <v>288</v>
      </c>
      <c r="C158" t="s">
        <v>11</v>
      </c>
      <c r="D158">
        <f>HEX2DEC(Tabela1[[#This Row],[ecpriIDstr]])</f>
        <v>41136</v>
      </c>
      <c r="E158">
        <v>9</v>
      </c>
      <c r="F158">
        <v>13</v>
      </c>
      <c r="G158">
        <v>0</v>
      </c>
      <c r="H158">
        <v>0</v>
      </c>
      <c r="I158">
        <v>157</v>
      </c>
      <c r="J158" s="1">
        <v>0</v>
      </c>
      <c r="K158" s="1">
        <v>1</v>
      </c>
      <c r="L158">
        <v>1</v>
      </c>
      <c r="M158">
        <v>1</v>
      </c>
    </row>
    <row r="159" spans="1:13" x14ac:dyDescent="0.25">
      <c r="A159">
        <v>120</v>
      </c>
      <c r="B159" s="2">
        <f>HEX2DEC(Tabela1[[#This Row],[VLANStr]])</f>
        <v>288</v>
      </c>
      <c r="C159" t="s">
        <v>11</v>
      </c>
      <c r="D159" s="2">
        <f>HEX2DEC(Tabela1[[#This Row],[ecpriIDstr]])</f>
        <v>41136</v>
      </c>
      <c r="E159">
        <v>9</v>
      </c>
      <c r="F159">
        <v>14</v>
      </c>
      <c r="G159">
        <v>0</v>
      </c>
      <c r="H159">
        <v>0</v>
      </c>
      <c r="I159">
        <v>158</v>
      </c>
      <c r="J159" s="1">
        <v>0</v>
      </c>
      <c r="K159" s="1">
        <v>1</v>
      </c>
      <c r="L159">
        <v>1</v>
      </c>
      <c r="M159">
        <v>1</v>
      </c>
    </row>
    <row r="160" spans="1:13" x14ac:dyDescent="0.25">
      <c r="A160">
        <v>120</v>
      </c>
      <c r="B160">
        <f>HEX2DEC(Tabela1[[#This Row],[VLANStr]])</f>
        <v>288</v>
      </c>
      <c r="C160" t="s">
        <v>11</v>
      </c>
      <c r="D160">
        <f>HEX2DEC(Tabela1[[#This Row],[ecpriIDstr]])</f>
        <v>41136</v>
      </c>
      <c r="E160">
        <v>9</v>
      </c>
      <c r="F160">
        <v>15</v>
      </c>
      <c r="G160">
        <v>0</v>
      </c>
      <c r="H160">
        <v>0</v>
      </c>
      <c r="I160">
        <v>159</v>
      </c>
      <c r="J160" s="1">
        <v>0</v>
      </c>
      <c r="K160" s="1">
        <v>1</v>
      </c>
      <c r="L160">
        <v>1</v>
      </c>
      <c r="M160">
        <v>1</v>
      </c>
    </row>
    <row r="161" spans="1:13" x14ac:dyDescent="0.25">
      <c r="A161">
        <v>120</v>
      </c>
      <c r="B161">
        <f>HEX2DEC(Tabela1[[#This Row],[VLANStr]])</f>
        <v>288</v>
      </c>
      <c r="C161" t="s">
        <v>11</v>
      </c>
      <c r="D161">
        <f>HEX2DEC(Tabela1[[#This Row],[ecpriIDstr]])</f>
        <v>41136</v>
      </c>
      <c r="E161">
        <v>10</v>
      </c>
      <c r="F161">
        <v>0</v>
      </c>
      <c r="G161">
        <v>0</v>
      </c>
      <c r="H161">
        <v>0</v>
      </c>
      <c r="I161">
        <v>160</v>
      </c>
      <c r="J161" s="1">
        <v>0</v>
      </c>
      <c r="K161" s="1">
        <v>1</v>
      </c>
      <c r="L161">
        <v>1</v>
      </c>
      <c r="M161">
        <v>1</v>
      </c>
    </row>
    <row r="162" spans="1:13" x14ac:dyDescent="0.25">
      <c r="A162">
        <v>120</v>
      </c>
      <c r="B162" s="2">
        <f>HEX2DEC(Tabela1[[#This Row],[VLANStr]])</f>
        <v>288</v>
      </c>
      <c r="C162" t="s">
        <v>11</v>
      </c>
      <c r="D162" s="2">
        <f>HEX2DEC(Tabela1[[#This Row],[ecpriIDstr]])</f>
        <v>41136</v>
      </c>
      <c r="E162">
        <v>10</v>
      </c>
      <c r="F162">
        <v>1</v>
      </c>
      <c r="G162">
        <v>0</v>
      </c>
      <c r="H162">
        <v>0</v>
      </c>
      <c r="I162">
        <v>161</v>
      </c>
      <c r="J162" s="1">
        <v>0</v>
      </c>
      <c r="K162" s="1">
        <v>1</v>
      </c>
      <c r="L162">
        <v>1</v>
      </c>
      <c r="M162">
        <v>1</v>
      </c>
    </row>
    <row r="163" spans="1:13" x14ac:dyDescent="0.25">
      <c r="A163">
        <v>120</v>
      </c>
      <c r="B163">
        <f>HEX2DEC(Tabela1[[#This Row],[VLANStr]])</f>
        <v>288</v>
      </c>
      <c r="C163" t="s">
        <v>11</v>
      </c>
      <c r="D163">
        <f>HEX2DEC(Tabela1[[#This Row],[ecpriIDstr]])</f>
        <v>41136</v>
      </c>
      <c r="E163">
        <v>10</v>
      </c>
      <c r="F163">
        <v>2</v>
      </c>
      <c r="G163">
        <v>0</v>
      </c>
      <c r="H163">
        <v>0</v>
      </c>
      <c r="I163">
        <v>162</v>
      </c>
      <c r="J163" s="1">
        <v>0</v>
      </c>
      <c r="K163" s="1">
        <v>1</v>
      </c>
      <c r="L163">
        <v>1</v>
      </c>
      <c r="M163">
        <v>1</v>
      </c>
    </row>
    <row r="164" spans="1:13" x14ac:dyDescent="0.25">
      <c r="A164">
        <v>120</v>
      </c>
      <c r="B164">
        <f>HEX2DEC(Tabela1[[#This Row],[VLANStr]])</f>
        <v>288</v>
      </c>
      <c r="C164" t="s">
        <v>11</v>
      </c>
      <c r="D164">
        <f>HEX2DEC(Tabela1[[#This Row],[ecpriIDstr]])</f>
        <v>41136</v>
      </c>
      <c r="E164">
        <v>10</v>
      </c>
      <c r="F164">
        <v>3</v>
      </c>
      <c r="G164">
        <v>0</v>
      </c>
      <c r="H164">
        <v>0</v>
      </c>
      <c r="I164">
        <v>163</v>
      </c>
      <c r="J164" s="1">
        <v>0</v>
      </c>
      <c r="K164" s="1">
        <v>1</v>
      </c>
      <c r="L164">
        <v>1</v>
      </c>
      <c r="M164">
        <v>1</v>
      </c>
    </row>
    <row r="165" spans="1:13" x14ac:dyDescent="0.25">
      <c r="A165">
        <v>120</v>
      </c>
      <c r="B165" s="2">
        <f>HEX2DEC(Tabela1[[#This Row],[VLANStr]])</f>
        <v>288</v>
      </c>
      <c r="C165" t="s">
        <v>11</v>
      </c>
      <c r="D165" s="2">
        <f>HEX2DEC(Tabela1[[#This Row],[ecpriIDstr]])</f>
        <v>41136</v>
      </c>
      <c r="E165">
        <v>10</v>
      </c>
      <c r="F165">
        <v>4</v>
      </c>
      <c r="G165">
        <v>0</v>
      </c>
      <c r="H165">
        <v>0</v>
      </c>
      <c r="I165">
        <v>164</v>
      </c>
      <c r="J165" s="1">
        <v>0</v>
      </c>
      <c r="K165" s="1">
        <v>1</v>
      </c>
      <c r="L165">
        <v>1</v>
      </c>
      <c r="M165">
        <v>1</v>
      </c>
    </row>
    <row r="166" spans="1:13" x14ac:dyDescent="0.25">
      <c r="A166">
        <v>120</v>
      </c>
      <c r="B166">
        <f>HEX2DEC(Tabela1[[#This Row],[VLANStr]])</f>
        <v>288</v>
      </c>
      <c r="C166" t="s">
        <v>11</v>
      </c>
      <c r="D166">
        <f>HEX2DEC(Tabela1[[#This Row],[ecpriIDstr]])</f>
        <v>41136</v>
      </c>
      <c r="E166">
        <v>10</v>
      </c>
      <c r="F166">
        <v>5</v>
      </c>
      <c r="G166">
        <v>0</v>
      </c>
      <c r="H166">
        <v>0</v>
      </c>
      <c r="I166">
        <v>165</v>
      </c>
      <c r="J166" s="1">
        <v>0</v>
      </c>
      <c r="K166" s="1">
        <v>1</v>
      </c>
      <c r="L166">
        <v>1</v>
      </c>
      <c r="M166">
        <v>1</v>
      </c>
    </row>
    <row r="167" spans="1:13" x14ac:dyDescent="0.25">
      <c r="A167">
        <v>120</v>
      </c>
      <c r="B167">
        <f>HEX2DEC(Tabela1[[#This Row],[VLANStr]])</f>
        <v>288</v>
      </c>
      <c r="C167" t="s">
        <v>11</v>
      </c>
      <c r="D167">
        <f>HEX2DEC(Tabela1[[#This Row],[ecpriIDstr]])</f>
        <v>41136</v>
      </c>
      <c r="E167">
        <v>10</v>
      </c>
      <c r="F167">
        <v>6</v>
      </c>
      <c r="G167">
        <v>0</v>
      </c>
      <c r="H167">
        <v>0</v>
      </c>
      <c r="I167">
        <v>166</v>
      </c>
      <c r="J167" s="1">
        <v>0</v>
      </c>
      <c r="K167" s="1">
        <v>1</v>
      </c>
      <c r="L167">
        <v>1</v>
      </c>
      <c r="M167">
        <v>1</v>
      </c>
    </row>
    <row r="168" spans="1:13" x14ac:dyDescent="0.25">
      <c r="A168">
        <v>120</v>
      </c>
      <c r="B168" s="2">
        <f>HEX2DEC(Tabela1[[#This Row],[VLANStr]])</f>
        <v>288</v>
      </c>
      <c r="C168" t="s">
        <v>11</v>
      </c>
      <c r="D168" s="2">
        <f>HEX2DEC(Tabela1[[#This Row],[ecpriIDstr]])</f>
        <v>41136</v>
      </c>
      <c r="E168">
        <v>10</v>
      </c>
      <c r="F168">
        <v>7</v>
      </c>
      <c r="G168">
        <v>0</v>
      </c>
      <c r="H168">
        <v>0</v>
      </c>
      <c r="I168">
        <v>167</v>
      </c>
      <c r="J168" s="1">
        <v>0</v>
      </c>
      <c r="K168" s="1">
        <v>1</v>
      </c>
      <c r="L168">
        <v>1</v>
      </c>
      <c r="M168">
        <v>1</v>
      </c>
    </row>
    <row r="169" spans="1:13" x14ac:dyDescent="0.25">
      <c r="A169">
        <v>120</v>
      </c>
      <c r="B169">
        <f>HEX2DEC(Tabela1[[#This Row],[VLANStr]])</f>
        <v>288</v>
      </c>
      <c r="C169" t="s">
        <v>11</v>
      </c>
      <c r="D169">
        <f>HEX2DEC(Tabela1[[#This Row],[ecpriIDstr]])</f>
        <v>41136</v>
      </c>
      <c r="E169">
        <v>10</v>
      </c>
      <c r="F169">
        <v>8</v>
      </c>
      <c r="G169">
        <v>0</v>
      </c>
      <c r="H169">
        <v>0</v>
      </c>
      <c r="I169">
        <v>168</v>
      </c>
      <c r="J169" s="1">
        <v>0</v>
      </c>
      <c r="K169" s="1">
        <v>1</v>
      </c>
      <c r="L169">
        <v>1</v>
      </c>
      <c r="M169">
        <v>1</v>
      </c>
    </row>
    <row r="170" spans="1:13" x14ac:dyDescent="0.25">
      <c r="A170">
        <v>120</v>
      </c>
      <c r="B170">
        <f>HEX2DEC(Tabela1[[#This Row],[VLANStr]])</f>
        <v>288</v>
      </c>
      <c r="C170" t="s">
        <v>11</v>
      </c>
      <c r="D170">
        <f>HEX2DEC(Tabela1[[#This Row],[ecpriIDstr]])</f>
        <v>41136</v>
      </c>
      <c r="E170">
        <v>10</v>
      </c>
      <c r="F170">
        <v>9</v>
      </c>
      <c r="G170">
        <v>0</v>
      </c>
      <c r="H170">
        <v>0</v>
      </c>
      <c r="I170">
        <v>169</v>
      </c>
      <c r="J170" s="1">
        <v>0</v>
      </c>
      <c r="K170" s="1">
        <v>1</v>
      </c>
      <c r="L170">
        <v>1</v>
      </c>
      <c r="M170">
        <v>1</v>
      </c>
    </row>
    <row r="171" spans="1:13" x14ac:dyDescent="0.25">
      <c r="A171">
        <v>120</v>
      </c>
      <c r="B171" s="2">
        <f>HEX2DEC(Tabela1[[#This Row],[VLANStr]])</f>
        <v>288</v>
      </c>
      <c r="C171" t="s">
        <v>11</v>
      </c>
      <c r="D171" s="2">
        <f>HEX2DEC(Tabela1[[#This Row],[ecpriIDstr]])</f>
        <v>41136</v>
      </c>
      <c r="E171">
        <v>10</v>
      </c>
      <c r="F171">
        <v>10</v>
      </c>
      <c r="G171">
        <v>0</v>
      </c>
      <c r="H171">
        <v>0</v>
      </c>
      <c r="I171">
        <v>170</v>
      </c>
      <c r="J171" s="1">
        <v>0</v>
      </c>
      <c r="K171" s="1">
        <v>1</v>
      </c>
      <c r="L171">
        <v>1</v>
      </c>
      <c r="M171">
        <v>1</v>
      </c>
    </row>
    <row r="172" spans="1:13" x14ac:dyDescent="0.25">
      <c r="A172">
        <v>120</v>
      </c>
      <c r="B172">
        <f>HEX2DEC(Tabela1[[#This Row],[VLANStr]])</f>
        <v>288</v>
      </c>
      <c r="C172" t="s">
        <v>11</v>
      </c>
      <c r="D172">
        <f>HEX2DEC(Tabela1[[#This Row],[ecpriIDstr]])</f>
        <v>41136</v>
      </c>
      <c r="E172">
        <v>10</v>
      </c>
      <c r="F172">
        <v>11</v>
      </c>
      <c r="G172">
        <v>0</v>
      </c>
      <c r="H172">
        <v>0</v>
      </c>
      <c r="I172">
        <v>171</v>
      </c>
      <c r="J172" s="1">
        <v>0</v>
      </c>
      <c r="K172" s="1">
        <v>1</v>
      </c>
      <c r="L172">
        <v>1</v>
      </c>
      <c r="M172">
        <v>1</v>
      </c>
    </row>
    <row r="173" spans="1:13" x14ac:dyDescent="0.25">
      <c r="A173">
        <v>120</v>
      </c>
      <c r="B173">
        <f>HEX2DEC(Tabela1[[#This Row],[VLANStr]])</f>
        <v>288</v>
      </c>
      <c r="C173" t="s">
        <v>11</v>
      </c>
      <c r="D173">
        <f>HEX2DEC(Tabela1[[#This Row],[ecpriIDstr]])</f>
        <v>41136</v>
      </c>
      <c r="E173">
        <v>10</v>
      </c>
      <c r="F173">
        <v>12</v>
      </c>
      <c r="G173">
        <v>0</v>
      </c>
      <c r="H173">
        <v>0</v>
      </c>
      <c r="I173">
        <v>172</v>
      </c>
      <c r="J173" s="1">
        <v>0</v>
      </c>
      <c r="K173" s="1">
        <v>1</v>
      </c>
      <c r="L173">
        <v>1</v>
      </c>
      <c r="M173">
        <v>1</v>
      </c>
    </row>
    <row r="174" spans="1:13" x14ac:dyDescent="0.25">
      <c r="A174">
        <v>120</v>
      </c>
      <c r="B174" s="2">
        <f>HEX2DEC(Tabela1[[#This Row],[VLANStr]])</f>
        <v>288</v>
      </c>
      <c r="C174" t="s">
        <v>11</v>
      </c>
      <c r="D174" s="2">
        <f>HEX2DEC(Tabela1[[#This Row],[ecpriIDstr]])</f>
        <v>41136</v>
      </c>
      <c r="E174">
        <v>10</v>
      </c>
      <c r="F174">
        <v>13</v>
      </c>
      <c r="G174">
        <v>0</v>
      </c>
      <c r="H174">
        <v>0</v>
      </c>
      <c r="I174">
        <v>173</v>
      </c>
      <c r="J174" s="1">
        <v>0</v>
      </c>
      <c r="K174" s="1">
        <v>1</v>
      </c>
      <c r="L174">
        <v>1</v>
      </c>
      <c r="M174">
        <v>1</v>
      </c>
    </row>
    <row r="175" spans="1:13" x14ac:dyDescent="0.25">
      <c r="A175">
        <v>120</v>
      </c>
      <c r="B175">
        <f>HEX2DEC(Tabela1[[#This Row],[VLANStr]])</f>
        <v>288</v>
      </c>
      <c r="C175" t="s">
        <v>11</v>
      </c>
      <c r="D175">
        <f>HEX2DEC(Tabela1[[#This Row],[ecpriIDstr]])</f>
        <v>41136</v>
      </c>
      <c r="E175">
        <v>10</v>
      </c>
      <c r="F175">
        <v>14</v>
      </c>
      <c r="G175">
        <v>0</v>
      </c>
      <c r="H175">
        <v>0</v>
      </c>
      <c r="I175">
        <v>174</v>
      </c>
      <c r="J175" s="1">
        <v>0</v>
      </c>
      <c r="K175" s="1">
        <v>1</v>
      </c>
      <c r="L175">
        <v>1</v>
      </c>
      <c r="M175">
        <v>1</v>
      </c>
    </row>
    <row r="176" spans="1:13" x14ac:dyDescent="0.25">
      <c r="A176">
        <v>120</v>
      </c>
      <c r="B176">
        <f>HEX2DEC(Tabela1[[#This Row],[VLANStr]])</f>
        <v>288</v>
      </c>
      <c r="C176" t="s">
        <v>11</v>
      </c>
      <c r="D176">
        <f>HEX2DEC(Tabela1[[#This Row],[ecpriIDstr]])</f>
        <v>41136</v>
      </c>
      <c r="E176">
        <v>10</v>
      </c>
      <c r="F176">
        <v>15</v>
      </c>
      <c r="G176">
        <v>0</v>
      </c>
      <c r="H176">
        <v>0</v>
      </c>
      <c r="I176">
        <v>175</v>
      </c>
      <c r="J176" s="1">
        <v>0</v>
      </c>
      <c r="K176" s="1">
        <v>1</v>
      </c>
      <c r="L176">
        <v>1</v>
      </c>
      <c r="M176">
        <v>1</v>
      </c>
    </row>
    <row r="177" spans="1:13" x14ac:dyDescent="0.25">
      <c r="A177">
        <v>120</v>
      </c>
      <c r="B177" s="2">
        <f>HEX2DEC(Tabela1[[#This Row],[VLANStr]])</f>
        <v>288</v>
      </c>
      <c r="C177" t="s">
        <v>11</v>
      </c>
      <c r="D177" s="2">
        <f>HEX2DEC(Tabela1[[#This Row],[ecpriIDstr]])</f>
        <v>41136</v>
      </c>
      <c r="E177">
        <v>11</v>
      </c>
      <c r="F177">
        <v>0</v>
      </c>
      <c r="G177">
        <v>0</v>
      </c>
      <c r="H177">
        <v>0</v>
      </c>
      <c r="I177">
        <v>176</v>
      </c>
      <c r="J177" s="1">
        <v>0</v>
      </c>
      <c r="K177" s="1">
        <v>1</v>
      </c>
      <c r="L177">
        <v>1</v>
      </c>
      <c r="M177">
        <v>1</v>
      </c>
    </row>
    <row r="178" spans="1:13" x14ac:dyDescent="0.25">
      <c r="A178">
        <v>120</v>
      </c>
      <c r="B178">
        <f>HEX2DEC(Tabela1[[#This Row],[VLANStr]])</f>
        <v>288</v>
      </c>
      <c r="C178" t="s">
        <v>11</v>
      </c>
      <c r="D178">
        <f>HEX2DEC(Tabela1[[#This Row],[ecpriIDstr]])</f>
        <v>41136</v>
      </c>
      <c r="E178">
        <v>11</v>
      </c>
      <c r="F178">
        <v>1</v>
      </c>
      <c r="G178">
        <v>0</v>
      </c>
      <c r="H178">
        <v>0</v>
      </c>
      <c r="I178">
        <v>177</v>
      </c>
      <c r="J178" s="1">
        <v>0</v>
      </c>
      <c r="K178" s="1">
        <v>1</v>
      </c>
      <c r="L178">
        <v>1</v>
      </c>
      <c r="M178">
        <v>1</v>
      </c>
    </row>
    <row r="179" spans="1:13" x14ac:dyDescent="0.25">
      <c r="A179">
        <v>120</v>
      </c>
      <c r="B179">
        <f>HEX2DEC(Tabela1[[#This Row],[VLANStr]])</f>
        <v>288</v>
      </c>
      <c r="C179" t="s">
        <v>11</v>
      </c>
      <c r="D179">
        <f>HEX2DEC(Tabela1[[#This Row],[ecpriIDstr]])</f>
        <v>41136</v>
      </c>
      <c r="E179">
        <v>11</v>
      </c>
      <c r="F179">
        <v>2</v>
      </c>
      <c r="G179">
        <v>0</v>
      </c>
      <c r="H179">
        <v>0</v>
      </c>
      <c r="I179">
        <v>178</v>
      </c>
      <c r="J179" s="1">
        <v>0</v>
      </c>
      <c r="K179" s="1">
        <v>1</v>
      </c>
      <c r="L179">
        <v>1</v>
      </c>
      <c r="M179">
        <v>1</v>
      </c>
    </row>
    <row r="180" spans="1:13" x14ac:dyDescent="0.25">
      <c r="A180">
        <v>120</v>
      </c>
      <c r="B180" s="2">
        <f>HEX2DEC(Tabela1[[#This Row],[VLANStr]])</f>
        <v>288</v>
      </c>
      <c r="C180" t="s">
        <v>11</v>
      </c>
      <c r="D180" s="2">
        <f>HEX2DEC(Tabela1[[#This Row],[ecpriIDstr]])</f>
        <v>41136</v>
      </c>
      <c r="E180">
        <v>11</v>
      </c>
      <c r="F180">
        <v>3</v>
      </c>
      <c r="G180">
        <v>0</v>
      </c>
      <c r="H180">
        <v>0</v>
      </c>
      <c r="I180">
        <v>179</v>
      </c>
      <c r="J180" s="1">
        <v>0</v>
      </c>
      <c r="K180" s="1">
        <v>1</v>
      </c>
      <c r="L180">
        <v>1</v>
      </c>
      <c r="M180">
        <v>1</v>
      </c>
    </row>
    <row r="181" spans="1:13" x14ac:dyDescent="0.25">
      <c r="A181">
        <v>120</v>
      </c>
      <c r="B181">
        <f>HEX2DEC(Tabela1[[#This Row],[VLANStr]])</f>
        <v>288</v>
      </c>
      <c r="C181" t="s">
        <v>11</v>
      </c>
      <c r="D181">
        <f>HEX2DEC(Tabela1[[#This Row],[ecpriIDstr]])</f>
        <v>41136</v>
      </c>
      <c r="E181">
        <v>11</v>
      </c>
      <c r="F181">
        <v>4</v>
      </c>
      <c r="G181">
        <v>0</v>
      </c>
      <c r="H181">
        <v>0</v>
      </c>
      <c r="I181">
        <v>180</v>
      </c>
      <c r="J181" s="1">
        <v>0</v>
      </c>
      <c r="K181" s="1">
        <v>1</v>
      </c>
      <c r="L181">
        <v>1</v>
      </c>
      <c r="M181">
        <v>1</v>
      </c>
    </row>
    <row r="182" spans="1:13" x14ac:dyDescent="0.25">
      <c r="A182">
        <v>120</v>
      </c>
      <c r="B182">
        <f>HEX2DEC(Tabela1[[#This Row],[VLANStr]])</f>
        <v>288</v>
      </c>
      <c r="C182" t="s">
        <v>11</v>
      </c>
      <c r="D182">
        <f>HEX2DEC(Tabela1[[#This Row],[ecpriIDstr]])</f>
        <v>41136</v>
      </c>
      <c r="E182">
        <v>11</v>
      </c>
      <c r="F182">
        <v>5</v>
      </c>
      <c r="G182">
        <v>0</v>
      </c>
      <c r="H182">
        <v>0</v>
      </c>
      <c r="I182">
        <v>181</v>
      </c>
      <c r="J182" s="1">
        <v>0</v>
      </c>
      <c r="K182" s="1">
        <v>1</v>
      </c>
      <c r="L182">
        <v>1</v>
      </c>
      <c r="M182">
        <v>1</v>
      </c>
    </row>
    <row r="183" spans="1:13" x14ac:dyDescent="0.25">
      <c r="A183">
        <v>120</v>
      </c>
      <c r="B183" s="2">
        <f>HEX2DEC(Tabela1[[#This Row],[VLANStr]])</f>
        <v>288</v>
      </c>
      <c r="C183" t="s">
        <v>11</v>
      </c>
      <c r="D183" s="2">
        <f>HEX2DEC(Tabela1[[#This Row],[ecpriIDstr]])</f>
        <v>41136</v>
      </c>
      <c r="E183">
        <v>11</v>
      </c>
      <c r="F183">
        <v>6</v>
      </c>
      <c r="G183">
        <v>0</v>
      </c>
      <c r="H183">
        <v>0</v>
      </c>
      <c r="I183">
        <v>182</v>
      </c>
      <c r="J183" s="1">
        <v>0</v>
      </c>
      <c r="K183" s="1">
        <v>1</v>
      </c>
      <c r="L183">
        <v>1</v>
      </c>
      <c r="M183">
        <v>1</v>
      </c>
    </row>
    <row r="184" spans="1:13" x14ac:dyDescent="0.25">
      <c r="A184">
        <v>120</v>
      </c>
      <c r="B184">
        <f>HEX2DEC(Tabela1[[#This Row],[VLANStr]])</f>
        <v>288</v>
      </c>
      <c r="C184" t="s">
        <v>11</v>
      </c>
      <c r="D184">
        <f>HEX2DEC(Tabela1[[#This Row],[ecpriIDstr]])</f>
        <v>41136</v>
      </c>
      <c r="E184">
        <v>11</v>
      </c>
      <c r="F184">
        <v>7</v>
      </c>
      <c r="G184">
        <v>0</v>
      </c>
      <c r="H184">
        <v>0</v>
      </c>
      <c r="I184">
        <v>183</v>
      </c>
      <c r="J184" s="1">
        <v>0</v>
      </c>
      <c r="K184" s="1">
        <v>1</v>
      </c>
      <c r="L184">
        <v>1</v>
      </c>
      <c r="M184">
        <v>1</v>
      </c>
    </row>
    <row r="185" spans="1:13" x14ac:dyDescent="0.25">
      <c r="A185">
        <v>120</v>
      </c>
      <c r="B185">
        <f>HEX2DEC(Tabela1[[#This Row],[VLANStr]])</f>
        <v>288</v>
      </c>
      <c r="C185" t="s">
        <v>11</v>
      </c>
      <c r="D185">
        <f>HEX2DEC(Tabela1[[#This Row],[ecpriIDstr]])</f>
        <v>41136</v>
      </c>
      <c r="E185">
        <v>11</v>
      </c>
      <c r="F185">
        <v>8</v>
      </c>
      <c r="G185">
        <v>0</v>
      </c>
      <c r="H185">
        <v>0</v>
      </c>
      <c r="I185">
        <v>184</v>
      </c>
      <c r="J185" s="1">
        <v>0</v>
      </c>
      <c r="K185" s="1">
        <v>1</v>
      </c>
      <c r="L185">
        <v>1</v>
      </c>
      <c r="M185">
        <v>1</v>
      </c>
    </row>
    <row r="186" spans="1:13" x14ac:dyDescent="0.25">
      <c r="A186">
        <v>120</v>
      </c>
      <c r="B186" s="2">
        <f>HEX2DEC(Tabela1[[#This Row],[VLANStr]])</f>
        <v>288</v>
      </c>
      <c r="C186" t="s">
        <v>11</v>
      </c>
      <c r="D186" s="2">
        <f>HEX2DEC(Tabela1[[#This Row],[ecpriIDstr]])</f>
        <v>41136</v>
      </c>
      <c r="E186">
        <v>11</v>
      </c>
      <c r="F186">
        <v>9</v>
      </c>
      <c r="G186">
        <v>0</v>
      </c>
      <c r="H186">
        <v>0</v>
      </c>
      <c r="I186">
        <v>185</v>
      </c>
      <c r="J186" s="1">
        <v>0</v>
      </c>
      <c r="K186" s="1">
        <v>1</v>
      </c>
      <c r="L186">
        <v>1</v>
      </c>
      <c r="M186">
        <v>1</v>
      </c>
    </row>
    <row r="187" spans="1:13" x14ac:dyDescent="0.25">
      <c r="A187">
        <v>120</v>
      </c>
      <c r="B187">
        <f>HEX2DEC(Tabela1[[#This Row],[VLANStr]])</f>
        <v>288</v>
      </c>
      <c r="C187" t="s">
        <v>11</v>
      </c>
      <c r="D187">
        <f>HEX2DEC(Tabela1[[#This Row],[ecpriIDstr]])</f>
        <v>41136</v>
      </c>
      <c r="E187">
        <v>11</v>
      </c>
      <c r="F187">
        <v>10</v>
      </c>
      <c r="G187">
        <v>0</v>
      </c>
      <c r="H187">
        <v>0</v>
      </c>
      <c r="I187">
        <v>186</v>
      </c>
      <c r="J187" s="1">
        <v>0</v>
      </c>
      <c r="K187" s="1">
        <v>1</v>
      </c>
      <c r="L187">
        <v>1</v>
      </c>
      <c r="M187">
        <v>1</v>
      </c>
    </row>
    <row r="188" spans="1:13" x14ac:dyDescent="0.25">
      <c r="A188">
        <v>120</v>
      </c>
      <c r="B188">
        <f>HEX2DEC(Tabela1[[#This Row],[VLANStr]])</f>
        <v>288</v>
      </c>
      <c r="C188" t="s">
        <v>11</v>
      </c>
      <c r="D188">
        <f>HEX2DEC(Tabela1[[#This Row],[ecpriIDstr]])</f>
        <v>41136</v>
      </c>
      <c r="E188">
        <v>11</v>
      </c>
      <c r="F188">
        <v>11</v>
      </c>
      <c r="G188">
        <v>0</v>
      </c>
      <c r="H188">
        <v>0</v>
      </c>
      <c r="I188">
        <v>187</v>
      </c>
      <c r="J188" s="1">
        <v>0</v>
      </c>
      <c r="K188" s="1">
        <v>1</v>
      </c>
      <c r="L188">
        <v>1</v>
      </c>
      <c r="M188">
        <v>1</v>
      </c>
    </row>
    <row r="189" spans="1:13" x14ac:dyDescent="0.25">
      <c r="A189">
        <v>120</v>
      </c>
      <c r="B189" s="2">
        <f>HEX2DEC(Tabela1[[#This Row],[VLANStr]])</f>
        <v>288</v>
      </c>
      <c r="C189" t="s">
        <v>11</v>
      </c>
      <c r="D189" s="2">
        <f>HEX2DEC(Tabela1[[#This Row],[ecpriIDstr]])</f>
        <v>41136</v>
      </c>
      <c r="E189">
        <v>11</v>
      </c>
      <c r="F189">
        <v>12</v>
      </c>
      <c r="G189">
        <v>0</v>
      </c>
      <c r="H189">
        <v>0</v>
      </c>
      <c r="I189">
        <v>188</v>
      </c>
      <c r="J189" s="1">
        <v>0</v>
      </c>
      <c r="K189" s="1">
        <v>1</v>
      </c>
      <c r="L189">
        <v>1</v>
      </c>
      <c r="M189">
        <v>1</v>
      </c>
    </row>
    <row r="190" spans="1:13" x14ac:dyDescent="0.25">
      <c r="A190">
        <v>120</v>
      </c>
      <c r="B190">
        <f>HEX2DEC(Tabela1[[#This Row],[VLANStr]])</f>
        <v>288</v>
      </c>
      <c r="C190" t="s">
        <v>11</v>
      </c>
      <c r="D190">
        <f>HEX2DEC(Tabela1[[#This Row],[ecpriIDstr]])</f>
        <v>41136</v>
      </c>
      <c r="E190">
        <v>11</v>
      </c>
      <c r="F190">
        <v>13</v>
      </c>
      <c r="G190">
        <v>0</v>
      </c>
      <c r="H190">
        <v>0</v>
      </c>
      <c r="I190">
        <v>189</v>
      </c>
      <c r="J190" s="1">
        <v>0</v>
      </c>
      <c r="K190" s="1">
        <v>1</v>
      </c>
      <c r="L190">
        <v>1</v>
      </c>
      <c r="M190">
        <v>1</v>
      </c>
    </row>
    <row r="191" spans="1:13" x14ac:dyDescent="0.25">
      <c r="A191">
        <v>120</v>
      </c>
      <c r="B191">
        <f>HEX2DEC(Tabela1[[#This Row],[VLANStr]])</f>
        <v>288</v>
      </c>
      <c r="C191" t="s">
        <v>11</v>
      </c>
      <c r="D191">
        <f>HEX2DEC(Tabela1[[#This Row],[ecpriIDstr]])</f>
        <v>41136</v>
      </c>
      <c r="E191">
        <v>11</v>
      </c>
      <c r="F191">
        <v>14</v>
      </c>
      <c r="G191">
        <v>0</v>
      </c>
      <c r="H191">
        <v>0</v>
      </c>
      <c r="I191">
        <v>190</v>
      </c>
      <c r="J191" s="1">
        <v>0</v>
      </c>
      <c r="K191" s="1">
        <v>1</v>
      </c>
      <c r="L191">
        <v>1</v>
      </c>
      <c r="M191">
        <v>1</v>
      </c>
    </row>
    <row r="192" spans="1:13" x14ac:dyDescent="0.25">
      <c r="A192">
        <v>120</v>
      </c>
      <c r="B192" s="2">
        <f>HEX2DEC(Tabela1[[#This Row],[VLANStr]])</f>
        <v>288</v>
      </c>
      <c r="C192" t="s">
        <v>11</v>
      </c>
      <c r="D192" s="2">
        <f>HEX2DEC(Tabela1[[#This Row],[ecpriIDstr]])</f>
        <v>41136</v>
      </c>
      <c r="E192">
        <v>11</v>
      </c>
      <c r="F192">
        <v>15</v>
      </c>
      <c r="G192">
        <v>0</v>
      </c>
      <c r="H192">
        <v>0</v>
      </c>
      <c r="I192">
        <v>191</v>
      </c>
      <c r="J192" s="1">
        <v>0</v>
      </c>
      <c r="K192" s="1">
        <v>1</v>
      </c>
      <c r="L192">
        <v>1</v>
      </c>
      <c r="M192">
        <v>1</v>
      </c>
    </row>
    <row r="193" spans="1:13" x14ac:dyDescent="0.25">
      <c r="A193">
        <v>120</v>
      </c>
      <c r="B193">
        <f>HEX2DEC(Tabela1[[#This Row],[VLANStr]])</f>
        <v>288</v>
      </c>
      <c r="C193" t="s">
        <v>11</v>
      </c>
      <c r="D193">
        <f>HEX2DEC(Tabela1[[#This Row],[ecpriIDstr]])</f>
        <v>41136</v>
      </c>
      <c r="E193">
        <v>12</v>
      </c>
      <c r="F193">
        <v>0</v>
      </c>
      <c r="G193">
        <v>0</v>
      </c>
      <c r="H193">
        <v>0</v>
      </c>
      <c r="I193">
        <v>192</v>
      </c>
      <c r="J193" s="1">
        <v>0</v>
      </c>
      <c r="K193" s="1">
        <v>1</v>
      </c>
      <c r="L193">
        <v>1</v>
      </c>
      <c r="M193">
        <v>1</v>
      </c>
    </row>
    <row r="194" spans="1:13" x14ac:dyDescent="0.25">
      <c r="A194">
        <v>120</v>
      </c>
      <c r="B194">
        <f>HEX2DEC(Tabela1[[#This Row],[VLANStr]])</f>
        <v>288</v>
      </c>
      <c r="C194" t="s">
        <v>11</v>
      </c>
      <c r="D194">
        <f>HEX2DEC(Tabela1[[#This Row],[ecpriIDstr]])</f>
        <v>41136</v>
      </c>
      <c r="E194">
        <v>12</v>
      </c>
      <c r="F194">
        <v>1</v>
      </c>
      <c r="G194">
        <v>0</v>
      </c>
      <c r="H194">
        <v>0</v>
      </c>
      <c r="I194">
        <v>193</v>
      </c>
      <c r="J194" s="1">
        <v>0</v>
      </c>
      <c r="K194" s="1">
        <v>1</v>
      </c>
      <c r="L194">
        <v>1</v>
      </c>
      <c r="M194">
        <v>1</v>
      </c>
    </row>
    <row r="195" spans="1:13" x14ac:dyDescent="0.25">
      <c r="A195">
        <v>120</v>
      </c>
      <c r="B195" s="2">
        <f>HEX2DEC(Tabela1[[#This Row],[VLANStr]])</f>
        <v>288</v>
      </c>
      <c r="C195" t="s">
        <v>11</v>
      </c>
      <c r="D195" s="2">
        <f>HEX2DEC(Tabela1[[#This Row],[ecpriIDstr]])</f>
        <v>41136</v>
      </c>
      <c r="E195">
        <v>12</v>
      </c>
      <c r="F195">
        <v>2</v>
      </c>
      <c r="G195">
        <v>0</v>
      </c>
      <c r="H195">
        <v>0</v>
      </c>
      <c r="I195">
        <v>194</v>
      </c>
      <c r="J195" s="1">
        <v>0</v>
      </c>
      <c r="K195" s="1">
        <v>1</v>
      </c>
      <c r="L195">
        <v>1</v>
      </c>
      <c r="M195">
        <v>1</v>
      </c>
    </row>
    <row r="196" spans="1:13" x14ac:dyDescent="0.25">
      <c r="A196">
        <v>120</v>
      </c>
      <c r="B196">
        <f>HEX2DEC(Tabela1[[#This Row],[VLANStr]])</f>
        <v>288</v>
      </c>
      <c r="C196" t="s">
        <v>11</v>
      </c>
      <c r="D196">
        <f>HEX2DEC(Tabela1[[#This Row],[ecpriIDstr]])</f>
        <v>41136</v>
      </c>
      <c r="E196">
        <v>12</v>
      </c>
      <c r="F196">
        <v>3</v>
      </c>
      <c r="G196">
        <v>0</v>
      </c>
      <c r="H196">
        <v>0</v>
      </c>
      <c r="I196">
        <v>195</v>
      </c>
      <c r="J196" s="1">
        <v>0</v>
      </c>
      <c r="K196" s="1">
        <v>1</v>
      </c>
      <c r="L196">
        <v>1</v>
      </c>
      <c r="M196">
        <v>1</v>
      </c>
    </row>
    <row r="197" spans="1:13" x14ac:dyDescent="0.25">
      <c r="A197">
        <v>120</v>
      </c>
      <c r="B197">
        <f>HEX2DEC(Tabela1[[#This Row],[VLANStr]])</f>
        <v>288</v>
      </c>
      <c r="C197" t="s">
        <v>11</v>
      </c>
      <c r="D197">
        <f>HEX2DEC(Tabela1[[#This Row],[ecpriIDstr]])</f>
        <v>41136</v>
      </c>
      <c r="E197">
        <v>12</v>
      </c>
      <c r="F197">
        <v>4</v>
      </c>
      <c r="G197">
        <v>0</v>
      </c>
      <c r="H197">
        <v>0</v>
      </c>
      <c r="I197">
        <v>196</v>
      </c>
      <c r="J197" s="1">
        <v>0</v>
      </c>
      <c r="K197" s="1">
        <v>1</v>
      </c>
      <c r="L197">
        <v>1</v>
      </c>
      <c r="M197">
        <v>1</v>
      </c>
    </row>
    <row r="198" spans="1:13" x14ac:dyDescent="0.25">
      <c r="A198">
        <v>120</v>
      </c>
      <c r="B198" s="2">
        <f>HEX2DEC(Tabela1[[#This Row],[VLANStr]])</f>
        <v>288</v>
      </c>
      <c r="C198" t="s">
        <v>11</v>
      </c>
      <c r="D198" s="2">
        <f>HEX2DEC(Tabela1[[#This Row],[ecpriIDstr]])</f>
        <v>41136</v>
      </c>
      <c r="E198">
        <v>12</v>
      </c>
      <c r="F198">
        <v>5</v>
      </c>
      <c r="G198">
        <v>0</v>
      </c>
      <c r="H198">
        <v>0</v>
      </c>
      <c r="I198">
        <v>197</v>
      </c>
      <c r="J198" s="1">
        <v>0</v>
      </c>
      <c r="K198" s="1">
        <v>1</v>
      </c>
      <c r="L198">
        <v>1</v>
      </c>
      <c r="M198">
        <v>1</v>
      </c>
    </row>
    <row r="199" spans="1:13" x14ac:dyDescent="0.25">
      <c r="A199">
        <v>120</v>
      </c>
      <c r="B199">
        <f>HEX2DEC(Tabela1[[#This Row],[VLANStr]])</f>
        <v>288</v>
      </c>
      <c r="C199" t="s">
        <v>11</v>
      </c>
      <c r="D199">
        <f>HEX2DEC(Tabela1[[#This Row],[ecpriIDstr]])</f>
        <v>41136</v>
      </c>
      <c r="E199">
        <v>12</v>
      </c>
      <c r="F199">
        <v>6</v>
      </c>
      <c r="G199">
        <v>0</v>
      </c>
      <c r="H199">
        <v>0</v>
      </c>
      <c r="I199">
        <v>198</v>
      </c>
      <c r="J199" s="1">
        <v>0</v>
      </c>
      <c r="K199" s="1">
        <v>1</v>
      </c>
      <c r="L199">
        <v>1</v>
      </c>
      <c r="M199">
        <v>1</v>
      </c>
    </row>
    <row r="200" spans="1:13" x14ac:dyDescent="0.25">
      <c r="A200">
        <v>120</v>
      </c>
      <c r="B200">
        <f>HEX2DEC(Tabela1[[#This Row],[VLANStr]])</f>
        <v>288</v>
      </c>
      <c r="C200" t="s">
        <v>11</v>
      </c>
      <c r="D200">
        <f>HEX2DEC(Tabela1[[#This Row],[ecpriIDstr]])</f>
        <v>41136</v>
      </c>
      <c r="E200">
        <v>12</v>
      </c>
      <c r="F200">
        <v>7</v>
      </c>
      <c r="G200">
        <v>0</v>
      </c>
      <c r="H200">
        <v>0</v>
      </c>
      <c r="I200">
        <v>199</v>
      </c>
      <c r="J200" s="1">
        <v>0</v>
      </c>
      <c r="K200" s="1">
        <v>1</v>
      </c>
      <c r="L200">
        <v>1</v>
      </c>
      <c r="M200">
        <v>1</v>
      </c>
    </row>
    <row r="201" spans="1:13" x14ac:dyDescent="0.25">
      <c r="A201">
        <v>120</v>
      </c>
      <c r="B201" s="2">
        <f>HEX2DEC(Tabela1[[#This Row],[VLANStr]])</f>
        <v>288</v>
      </c>
      <c r="C201" t="s">
        <v>11</v>
      </c>
      <c r="D201" s="2">
        <f>HEX2DEC(Tabela1[[#This Row],[ecpriIDstr]])</f>
        <v>41136</v>
      </c>
      <c r="E201">
        <v>12</v>
      </c>
      <c r="F201">
        <v>8</v>
      </c>
      <c r="G201">
        <v>0</v>
      </c>
      <c r="H201">
        <v>0</v>
      </c>
      <c r="I201">
        <v>200</v>
      </c>
      <c r="J201" s="1">
        <v>0</v>
      </c>
      <c r="K201" s="1">
        <v>1</v>
      </c>
      <c r="L201">
        <v>1</v>
      </c>
      <c r="M201">
        <v>1</v>
      </c>
    </row>
    <row r="202" spans="1:13" x14ac:dyDescent="0.25">
      <c r="A202">
        <v>120</v>
      </c>
      <c r="B202">
        <f>HEX2DEC(Tabela1[[#This Row],[VLANStr]])</f>
        <v>288</v>
      </c>
      <c r="C202" t="s">
        <v>11</v>
      </c>
      <c r="D202">
        <f>HEX2DEC(Tabela1[[#This Row],[ecpriIDstr]])</f>
        <v>41136</v>
      </c>
      <c r="E202">
        <v>12</v>
      </c>
      <c r="F202">
        <v>9</v>
      </c>
      <c r="G202">
        <v>0</v>
      </c>
      <c r="H202">
        <v>0</v>
      </c>
      <c r="I202">
        <v>201</v>
      </c>
      <c r="J202" s="1">
        <v>0</v>
      </c>
      <c r="K202" s="1">
        <v>1</v>
      </c>
      <c r="L202">
        <v>1</v>
      </c>
      <c r="M202">
        <v>1</v>
      </c>
    </row>
    <row r="203" spans="1:13" x14ac:dyDescent="0.25">
      <c r="A203">
        <v>120</v>
      </c>
      <c r="B203">
        <f>HEX2DEC(Tabela1[[#This Row],[VLANStr]])</f>
        <v>288</v>
      </c>
      <c r="C203" t="s">
        <v>11</v>
      </c>
      <c r="D203">
        <f>HEX2DEC(Tabela1[[#This Row],[ecpriIDstr]])</f>
        <v>41136</v>
      </c>
      <c r="E203">
        <v>12</v>
      </c>
      <c r="F203">
        <v>10</v>
      </c>
      <c r="G203">
        <v>0</v>
      </c>
      <c r="H203">
        <v>0</v>
      </c>
      <c r="I203">
        <v>202</v>
      </c>
      <c r="J203" s="1">
        <v>0</v>
      </c>
      <c r="K203" s="1">
        <v>1</v>
      </c>
      <c r="L203">
        <v>1</v>
      </c>
      <c r="M203">
        <v>1</v>
      </c>
    </row>
    <row r="204" spans="1:13" x14ac:dyDescent="0.25">
      <c r="A204">
        <v>120</v>
      </c>
      <c r="B204" s="2">
        <f>HEX2DEC(Tabela1[[#This Row],[VLANStr]])</f>
        <v>288</v>
      </c>
      <c r="C204" t="s">
        <v>11</v>
      </c>
      <c r="D204" s="2">
        <f>HEX2DEC(Tabela1[[#This Row],[ecpriIDstr]])</f>
        <v>41136</v>
      </c>
      <c r="E204">
        <v>12</v>
      </c>
      <c r="F204">
        <v>11</v>
      </c>
      <c r="G204">
        <v>0</v>
      </c>
      <c r="H204">
        <v>0</v>
      </c>
      <c r="I204">
        <v>203</v>
      </c>
      <c r="J204" s="1">
        <v>0</v>
      </c>
      <c r="K204" s="1">
        <v>1</v>
      </c>
      <c r="L204">
        <v>1</v>
      </c>
      <c r="M204">
        <v>1</v>
      </c>
    </row>
    <row r="205" spans="1:13" x14ac:dyDescent="0.25">
      <c r="A205">
        <v>120</v>
      </c>
      <c r="B205">
        <f>HEX2DEC(Tabela1[[#This Row],[VLANStr]])</f>
        <v>288</v>
      </c>
      <c r="C205" t="s">
        <v>11</v>
      </c>
      <c r="D205">
        <f>HEX2DEC(Tabela1[[#This Row],[ecpriIDstr]])</f>
        <v>41136</v>
      </c>
      <c r="E205">
        <v>12</v>
      </c>
      <c r="F205">
        <v>12</v>
      </c>
      <c r="G205">
        <v>0</v>
      </c>
      <c r="H205">
        <v>0</v>
      </c>
      <c r="I205">
        <v>204</v>
      </c>
      <c r="J205" s="1">
        <v>0</v>
      </c>
      <c r="K205" s="1">
        <v>1</v>
      </c>
      <c r="L205">
        <v>1</v>
      </c>
      <c r="M205">
        <v>1</v>
      </c>
    </row>
    <row r="206" spans="1:13" x14ac:dyDescent="0.25">
      <c r="A206">
        <v>120</v>
      </c>
      <c r="B206">
        <f>HEX2DEC(Tabela1[[#This Row],[VLANStr]])</f>
        <v>288</v>
      </c>
      <c r="C206" t="s">
        <v>11</v>
      </c>
      <c r="D206">
        <f>HEX2DEC(Tabela1[[#This Row],[ecpriIDstr]])</f>
        <v>41136</v>
      </c>
      <c r="E206">
        <v>12</v>
      </c>
      <c r="F206">
        <v>13</v>
      </c>
      <c r="G206">
        <v>0</v>
      </c>
      <c r="H206">
        <v>0</v>
      </c>
      <c r="I206">
        <v>205</v>
      </c>
      <c r="J206" s="1">
        <v>0</v>
      </c>
      <c r="K206" s="1">
        <v>1</v>
      </c>
      <c r="L206">
        <v>1</v>
      </c>
      <c r="M206">
        <v>1</v>
      </c>
    </row>
    <row r="207" spans="1:13" x14ac:dyDescent="0.25">
      <c r="A207">
        <v>120</v>
      </c>
      <c r="B207" s="2">
        <f>HEX2DEC(Tabela1[[#This Row],[VLANStr]])</f>
        <v>288</v>
      </c>
      <c r="C207" t="s">
        <v>11</v>
      </c>
      <c r="D207" s="2">
        <f>HEX2DEC(Tabela1[[#This Row],[ecpriIDstr]])</f>
        <v>41136</v>
      </c>
      <c r="E207">
        <v>12</v>
      </c>
      <c r="F207">
        <v>14</v>
      </c>
      <c r="G207">
        <v>0</v>
      </c>
      <c r="H207">
        <v>0</v>
      </c>
      <c r="I207">
        <v>206</v>
      </c>
      <c r="J207" s="1">
        <v>0</v>
      </c>
      <c r="K207" s="1">
        <v>1</v>
      </c>
      <c r="L207">
        <v>1</v>
      </c>
      <c r="M207">
        <v>1</v>
      </c>
    </row>
    <row r="208" spans="1:13" x14ac:dyDescent="0.25">
      <c r="A208">
        <v>120</v>
      </c>
      <c r="B208">
        <f>HEX2DEC(Tabela1[[#This Row],[VLANStr]])</f>
        <v>288</v>
      </c>
      <c r="C208" t="s">
        <v>11</v>
      </c>
      <c r="D208">
        <f>HEX2DEC(Tabela1[[#This Row],[ecpriIDstr]])</f>
        <v>41136</v>
      </c>
      <c r="E208">
        <v>12</v>
      </c>
      <c r="F208">
        <v>15</v>
      </c>
      <c r="G208">
        <v>0</v>
      </c>
      <c r="H208">
        <v>0</v>
      </c>
      <c r="I208">
        <v>207</v>
      </c>
      <c r="J208" s="1">
        <v>0</v>
      </c>
      <c r="K208" s="1">
        <v>1</v>
      </c>
      <c r="L208">
        <v>1</v>
      </c>
      <c r="M208">
        <v>1</v>
      </c>
    </row>
    <row r="209" spans="1:13" x14ac:dyDescent="0.25">
      <c r="A209">
        <v>120</v>
      </c>
      <c r="B209">
        <f>HEX2DEC(Tabela1[[#This Row],[VLANStr]])</f>
        <v>288</v>
      </c>
      <c r="C209" t="s">
        <v>11</v>
      </c>
      <c r="D209">
        <f>HEX2DEC(Tabela1[[#This Row],[ecpriIDstr]])</f>
        <v>41136</v>
      </c>
      <c r="E209">
        <v>13</v>
      </c>
      <c r="F209">
        <v>0</v>
      </c>
      <c r="G209">
        <v>0</v>
      </c>
      <c r="H209">
        <v>0</v>
      </c>
      <c r="I209">
        <v>208</v>
      </c>
      <c r="J209" s="1">
        <v>0</v>
      </c>
      <c r="K209" s="1">
        <v>1</v>
      </c>
      <c r="L209">
        <v>1</v>
      </c>
      <c r="M209">
        <v>1</v>
      </c>
    </row>
    <row r="210" spans="1:13" x14ac:dyDescent="0.25">
      <c r="A210">
        <v>120</v>
      </c>
      <c r="B210" s="2">
        <f>HEX2DEC(Tabela1[[#This Row],[VLANStr]])</f>
        <v>288</v>
      </c>
      <c r="C210" t="s">
        <v>11</v>
      </c>
      <c r="D210" s="2">
        <f>HEX2DEC(Tabela1[[#This Row],[ecpriIDstr]])</f>
        <v>41136</v>
      </c>
      <c r="E210">
        <v>13</v>
      </c>
      <c r="F210">
        <v>1</v>
      </c>
      <c r="G210">
        <v>0</v>
      </c>
      <c r="H210">
        <v>0</v>
      </c>
      <c r="I210">
        <v>209</v>
      </c>
      <c r="J210" s="1">
        <v>0</v>
      </c>
      <c r="K210" s="1">
        <v>1</v>
      </c>
      <c r="L210">
        <v>1</v>
      </c>
      <c r="M210">
        <v>1</v>
      </c>
    </row>
    <row r="211" spans="1:13" x14ac:dyDescent="0.25">
      <c r="A211">
        <v>120</v>
      </c>
      <c r="B211">
        <f>HEX2DEC(Tabela1[[#This Row],[VLANStr]])</f>
        <v>288</v>
      </c>
      <c r="C211" t="s">
        <v>11</v>
      </c>
      <c r="D211">
        <f>HEX2DEC(Tabela1[[#This Row],[ecpriIDstr]])</f>
        <v>41136</v>
      </c>
      <c r="E211">
        <v>13</v>
      </c>
      <c r="F211">
        <v>2</v>
      </c>
      <c r="G211">
        <v>0</v>
      </c>
      <c r="H211">
        <v>0</v>
      </c>
      <c r="I211">
        <v>210</v>
      </c>
      <c r="J211" s="1">
        <v>0</v>
      </c>
      <c r="K211" s="1">
        <v>1</v>
      </c>
      <c r="L211">
        <v>1</v>
      </c>
      <c r="M211">
        <v>1</v>
      </c>
    </row>
    <row r="212" spans="1:13" x14ac:dyDescent="0.25">
      <c r="A212">
        <v>120</v>
      </c>
      <c r="B212">
        <f>HEX2DEC(Tabela1[[#This Row],[VLANStr]])</f>
        <v>288</v>
      </c>
      <c r="C212" t="s">
        <v>11</v>
      </c>
      <c r="D212">
        <f>HEX2DEC(Tabela1[[#This Row],[ecpriIDstr]])</f>
        <v>41136</v>
      </c>
      <c r="E212">
        <v>13</v>
      </c>
      <c r="F212">
        <v>3</v>
      </c>
      <c r="G212">
        <v>0</v>
      </c>
      <c r="H212">
        <v>0</v>
      </c>
      <c r="I212">
        <v>211</v>
      </c>
      <c r="J212" s="1">
        <v>0</v>
      </c>
      <c r="K212" s="1">
        <v>1</v>
      </c>
      <c r="L212">
        <v>1</v>
      </c>
      <c r="M212">
        <v>1</v>
      </c>
    </row>
    <row r="213" spans="1:13" x14ac:dyDescent="0.25">
      <c r="A213">
        <v>120</v>
      </c>
      <c r="B213" s="2">
        <f>HEX2DEC(Tabela1[[#This Row],[VLANStr]])</f>
        <v>288</v>
      </c>
      <c r="C213" t="s">
        <v>11</v>
      </c>
      <c r="D213" s="2">
        <f>HEX2DEC(Tabela1[[#This Row],[ecpriIDstr]])</f>
        <v>41136</v>
      </c>
      <c r="E213">
        <v>13</v>
      </c>
      <c r="F213">
        <v>4</v>
      </c>
      <c r="G213">
        <v>0</v>
      </c>
      <c r="H213">
        <v>0</v>
      </c>
      <c r="I213">
        <v>212</v>
      </c>
      <c r="J213" s="1">
        <v>0</v>
      </c>
      <c r="K213" s="1">
        <v>1</v>
      </c>
      <c r="L213">
        <v>1</v>
      </c>
      <c r="M213">
        <v>1</v>
      </c>
    </row>
    <row r="214" spans="1:13" x14ac:dyDescent="0.25">
      <c r="A214">
        <v>120</v>
      </c>
      <c r="B214">
        <f>HEX2DEC(Tabela1[[#This Row],[VLANStr]])</f>
        <v>288</v>
      </c>
      <c r="C214" t="s">
        <v>11</v>
      </c>
      <c r="D214">
        <f>HEX2DEC(Tabela1[[#This Row],[ecpriIDstr]])</f>
        <v>41136</v>
      </c>
      <c r="E214">
        <v>13</v>
      </c>
      <c r="F214">
        <v>5</v>
      </c>
      <c r="G214">
        <v>0</v>
      </c>
      <c r="H214">
        <v>0</v>
      </c>
      <c r="I214">
        <v>213</v>
      </c>
      <c r="J214" s="1">
        <v>0</v>
      </c>
      <c r="K214" s="1">
        <v>1</v>
      </c>
      <c r="L214">
        <v>1</v>
      </c>
      <c r="M214">
        <v>1</v>
      </c>
    </row>
    <row r="215" spans="1:13" x14ac:dyDescent="0.25">
      <c r="A215">
        <v>120</v>
      </c>
      <c r="B215">
        <f>HEX2DEC(Tabela1[[#This Row],[VLANStr]])</f>
        <v>288</v>
      </c>
      <c r="C215" t="s">
        <v>11</v>
      </c>
      <c r="D215">
        <f>HEX2DEC(Tabela1[[#This Row],[ecpriIDstr]])</f>
        <v>41136</v>
      </c>
      <c r="E215">
        <v>13</v>
      </c>
      <c r="F215">
        <v>6</v>
      </c>
      <c r="G215">
        <v>0</v>
      </c>
      <c r="H215">
        <v>0</v>
      </c>
      <c r="I215">
        <v>214</v>
      </c>
      <c r="J215" s="1">
        <v>0</v>
      </c>
      <c r="K215" s="1">
        <v>1</v>
      </c>
      <c r="L215">
        <v>1</v>
      </c>
      <c r="M215">
        <v>1</v>
      </c>
    </row>
    <row r="216" spans="1:13" x14ac:dyDescent="0.25">
      <c r="A216">
        <v>120</v>
      </c>
      <c r="B216" s="2">
        <f>HEX2DEC(Tabela1[[#This Row],[VLANStr]])</f>
        <v>288</v>
      </c>
      <c r="C216" t="s">
        <v>11</v>
      </c>
      <c r="D216" s="2">
        <f>HEX2DEC(Tabela1[[#This Row],[ecpriIDstr]])</f>
        <v>41136</v>
      </c>
      <c r="E216">
        <v>13</v>
      </c>
      <c r="F216">
        <v>7</v>
      </c>
      <c r="G216">
        <v>0</v>
      </c>
      <c r="H216">
        <v>0</v>
      </c>
      <c r="I216">
        <v>215</v>
      </c>
      <c r="J216" s="1">
        <v>0</v>
      </c>
      <c r="K216" s="1">
        <v>1</v>
      </c>
      <c r="L216">
        <v>1</v>
      </c>
      <c r="M216">
        <v>1</v>
      </c>
    </row>
    <row r="217" spans="1:13" x14ac:dyDescent="0.25">
      <c r="A217">
        <v>120</v>
      </c>
      <c r="B217">
        <f>HEX2DEC(Tabela1[[#This Row],[VLANStr]])</f>
        <v>288</v>
      </c>
      <c r="C217" t="s">
        <v>11</v>
      </c>
      <c r="D217">
        <f>HEX2DEC(Tabela1[[#This Row],[ecpriIDstr]])</f>
        <v>41136</v>
      </c>
      <c r="E217">
        <v>13</v>
      </c>
      <c r="F217">
        <v>8</v>
      </c>
      <c r="G217">
        <v>0</v>
      </c>
      <c r="H217">
        <v>0</v>
      </c>
      <c r="I217">
        <v>216</v>
      </c>
      <c r="J217" s="1">
        <v>0</v>
      </c>
      <c r="K217" s="1">
        <v>1</v>
      </c>
      <c r="L217">
        <v>1</v>
      </c>
      <c r="M217">
        <v>1</v>
      </c>
    </row>
    <row r="218" spans="1:13" x14ac:dyDescent="0.25">
      <c r="A218">
        <v>120</v>
      </c>
      <c r="B218">
        <f>HEX2DEC(Tabela1[[#This Row],[VLANStr]])</f>
        <v>288</v>
      </c>
      <c r="C218" t="s">
        <v>11</v>
      </c>
      <c r="D218">
        <f>HEX2DEC(Tabela1[[#This Row],[ecpriIDstr]])</f>
        <v>41136</v>
      </c>
      <c r="E218">
        <v>13</v>
      </c>
      <c r="F218">
        <v>9</v>
      </c>
      <c r="G218">
        <v>0</v>
      </c>
      <c r="H218">
        <v>0</v>
      </c>
      <c r="I218">
        <v>217</v>
      </c>
      <c r="J218" s="1">
        <v>0</v>
      </c>
      <c r="K218" s="1">
        <v>1</v>
      </c>
      <c r="L218">
        <v>1</v>
      </c>
      <c r="M218">
        <v>1</v>
      </c>
    </row>
    <row r="219" spans="1:13" x14ac:dyDescent="0.25">
      <c r="A219">
        <v>120</v>
      </c>
      <c r="B219" s="2">
        <f>HEX2DEC(Tabela1[[#This Row],[VLANStr]])</f>
        <v>288</v>
      </c>
      <c r="C219" t="s">
        <v>11</v>
      </c>
      <c r="D219" s="2">
        <f>HEX2DEC(Tabela1[[#This Row],[ecpriIDstr]])</f>
        <v>41136</v>
      </c>
      <c r="E219">
        <v>13</v>
      </c>
      <c r="F219">
        <v>10</v>
      </c>
      <c r="G219">
        <v>0</v>
      </c>
      <c r="H219">
        <v>0</v>
      </c>
      <c r="I219">
        <v>218</v>
      </c>
      <c r="J219" s="1">
        <v>0</v>
      </c>
      <c r="K219" s="1">
        <v>1</v>
      </c>
      <c r="L219">
        <v>1</v>
      </c>
      <c r="M219">
        <v>1</v>
      </c>
    </row>
    <row r="220" spans="1:13" x14ac:dyDescent="0.25">
      <c r="A220">
        <v>120</v>
      </c>
      <c r="B220">
        <f>HEX2DEC(Tabela1[[#This Row],[VLANStr]])</f>
        <v>288</v>
      </c>
      <c r="C220" t="s">
        <v>11</v>
      </c>
      <c r="D220">
        <f>HEX2DEC(Tabela1[[#This Row],[ecpriIDstr]])</f>
        <v>41136</v>
      </c>
      <c r="E220">
        <v>13</v>
      </c>
      <c r="F220">
        <v>11</v>
      </c>
      <c r="G220">
        <v>0</v>
      </c>
      <c r="H220">
        <v>0</v>
      </c>
      <c r="I220">
        <v>219</v>
      </c>
      <c r="J220" s="1">
        <v>0</v>
      </c>
      <c r="K220" s="1">
        <v>1</v>
      </c>
      <c r="L220">
        <v>1</v>
      </c>
      <c r="M220">
        <v>1</v>
      </c>
    </row>
    <row r="221" spans="1:13" x14ac:dyDescent="0.25">
      <c r="A221">
        <v>120</v>
      </c>
      <c r="B221">
        <f>HEX2DEC(Tabela1[[#This Row],[VLANStr]])</f>
        <v>288</v>
      </c>
      <c r="C221" t="s">
        <v>11</v>
      </c>
      <c r="D221">
        <f>HEX2DEC(Tabela1[[#This Row],[ecpriIDstr]])</f>
        <v>41136</v>
      </c>
      <c r="E221">
        <v>13</v>
      </c>
      <c r="F221">
        <v>12</v>
      </c>
      <c r="G221">
        <v>0</v>
      </c>
      <c r="H221">
        <v>0</v>
      </c>
      <c r="I221">
        <v>220</v>
      </c>
      <c r="J221" s="1">
        <v>0</v>
      </c>
      <c r="K221" s="1">
        <v>1</v>
      </c>
      <c r="L221">
        <v>1</v>
      </c>
      <c r="M221">
        <v>1</v>
      </c>
    </row>
    <row r="222" spans="1:13" x14ac:dyDescent="0.25">
      <c r="A222">
        <v>120</v>
      </c>
      <c r="B222" s="2">
        <f>HEX2DEC(Tabela1[[#This Row],[VLANStr]])</f>
        <v>288</v>
      </c>
      <c r="C222" t="s">
        <v>11</v>
      </c>
      <c r="D222" s="2">
        <f>HEX2DEC(Tabela1[[#This Row],[ecpriIDstr]])</f>
        <v>41136</v>
      </c>
      <c r="E222">
        <v>13</v>
      </c>
      <c r="F222">
        <v>13</v>
      </c>
      <c r="G222">
        <v>0</v>
      </c>
      <c r="H222">
        <v>0</v>
      </c>
      <c r="I222">
        <v>221</v>
      </c>
      <c r="J222" s="1">
        <v>0</v>
      </c>
      <c r="K222" s="1">
        <v>1</v>
      </c>
      <c r="L222">
        <v>1</v>
      </c>
      <c r="M222">
        <v>1</v>
      </c>
    </row>
    <row r="223" spans="1:13" x14ac:dyDescent="0.25">
      <c r="A223">
        <v>120</v>
      </c>
      <c r="B223">
        <f>HEX2DEC(Tabela1[[#This Row],[VLANStr]])</f>
        <v>288</v>
      </c>
      <c r="C223" t="s">
        <v>11</v>
      </c>
      <c r="D223">
        <f>HEX2DEC(Tabela1[[#This Row],[ecpriIDstr]])</f>
        <v>41136</v>
      </c>
      <c r="E223">
        <v>13</v>
      </c>
      <c r="F223">
        <v>14</v>
      </c>
      <c r="G223">
        <v>0</v>
      </c>
      <c r="H223">
        <v>0</v>
      </c>
      <c r="I223">
        <v>222</v>
      </c>
      <c r="J223" s="1">
        <v>0</v>
      </c>
      <c r="K223" s="1">
        <v>1</v>
      </c>
      <c r="L223">
        <v>1</v>
      </c>
      <c r="M223">
        <v>1</v>
      </c>
    </row>
    <row r="224" spans="1:13" x14ac:dyDescent="0.25">
      <c r="A224">
        <v>120</v>
      </c>
      <c r="B224">
        <f>HEX2DEC(Tabela1[[#This Row],[VLANStr]])</f>
        <v>288</v>
      </c>
      <c r="C224" t="s">
        <v>11</v>
      </c>
      <c r="D224">
        <f>HEX2DEC(Tabela1[[#This Row],[ecpriIDstr]])</f>
        <v>41136</v>
      </c>
      <c r="E224">
        <v>13</v>
      </c>
      <c r="F224">
        <v>15</v>
      </c>
      <c r="G224">
        <v>0</v>
      </c>
      <c r="H224">
        <v>0</v>
      </c>
      <c r="I224">
        <v>223</v>
      </c>
      <c r="J224" s="1">
        <v>0</v>
      </c>
      <c r="K224" s="1">
        <v>1</v>
      </c>
      <c r="L224">
        <v>1</v>
      </c>
      <c r="M224">
        <v>1</v>
      </c>
    </row>
    <row r="225" spans="1:13" x14ac:dyDescent="0.25">
      <c r="A225">
        <v>120</v>
      </c>
      <c r="B225" s="2">
        <f>HEX2DEC(Tabela1[[#This Row],[VLANStr]])</f>
        <v>288</v>
      </c>
      <c r="C225" t="s">
        <v>11</v>
      </c>
      <c r="D225" s="2">
        <f>HEX2DEC(Tabela1[[#This Row],[ecpriIDstr]])</f>
        <v>41136</v>
      </c>
      <c r="E225">
        <v>14</v>
      </c>
      <c r="F225">
        <v>0</v>
      </c>
      <c r="G225">
        <v>0</v>
      </c>
      <c r="H225">
        <v>0</v>
      </c>
      <c r="I225">
        <v>224</v>
      </c>
      <c r="J225" s="1">
        <v>0</v>
      </c>
      <c r="K225" s="1">
        <v>1</v>
      </c>
      <c r="L225">
        <v>1</v>
      </c>
      <c r="M225">
        <v>1</v>
      </c>
    </row>
    <row r="226" spans="1:13" x14ac:dyDescent="0.25">
      <c r="A226">
        <v>120</v>
      </c>
      <c r="B226">
        <f>HEX2DEC(Tabela1[[#This Row],[VLANStr]])</f>
        <v>288</v>
      </c>
      <c r="C226" t="s">
        <v>11</v>
      </c>
      <c r="D226">
        <f>HEX2DEC(Tabela1[[#This Row],[ecpriIDstr]])</f>
        <v>41136</v>
      </c>
      <c r="E226">
        <v>14</v>
      </c>
      <c r="F226">
        <v>1</v>
      </c>
      <c r="G226">
        <v>0</v>
      </c>
      <c r="H226">
        <v>0</v>
      </c>
      <c r="I226">
        <v>225</v>
      </c>
      <c r="J226" s="1">
        <v>0</v>
      </c>
      <c r="K226" s="1">
        <v>1</v>
      </c>
      <c r="L226">
        <v>1</v>
      </c>
      <c r="M226">
        <v>1</v>
      </c>
    </row>
    <row r="227" spans="1:13" x14ac:dyDescent="0.25">
      <c r="A227">
        <v>120</v>
      </c>
      <c r="B227">
        <f>HEX2DEC(Tabela1[[#This Row],[VLANStr]])</f>
        <v>288</v>
      </c>
      <c r="C227" t="s">
        <v>11</v>
      </c>
      <c r="D227">
        <f>HEX2DEC(Tabela1[[#This Row],[ecpriIDstr]])</f>
        <v>41136</v>
      </c>
      <c r="E227">
        <v>14</v>
      </c>
      <c r="F227">
        <v>2</v>
      </c>
      <c r="G227">
        <v>0</v>
      </c>
      <c r="H227">
        <v>0</v>
      </c>
      <c r="I227">
        <v>226</v>
      </c>
      <c r="J227" s="1">
        <v>0</v>
      </c>
      <c r="K227" s="1">
        <v>1</v>
      </c>
      <c r="L227">
        <v>1</v>
      </c>
      <c r="M227">
        <v>1</v>
      </c>
    </row>
    <row r="228" spans="1:13" x14ac:dyDescent="0.25">
      <c r="A228">
        <v>120</v>
      </c>
      <c r="B228" s="2">
        <f>HEX2DEC(Tabela1[[#This Row],[VLANStr]])</f>
        <v>288</v>
      </c>
      <c r="C228" t="s">
        <v>11</v>
      </c>
      <c r="D228" s="2">
        <f>HEX2DEC(Tabela1[[#This Row],[ecpriIDstr]])</f>
        <v>41136</v>
      </c>
      <c r="E228">
        <v>14</v>
      </c>
      <c r="F228">
        <v>3</v>
      </c>
      <c r="G228">
        <v>0</v>
      </c>
      <c r="H228">
        <v>0</v>
      </c>
      <c r="I228">
        <v>227</v>
      </c>
      <c r="J228" s="1">
        <v>0</v>
      </c>
      <c r="K228" s="1">
        <v>1</v>
      </c>
      <c r="L228">
        <v>1</v>
      </c>
      <c r="M228">
        <v>1</v>
      </c>
    </row>
    <row r="229" spans="1:13" x14ac:dyDescent="0.25">
      <c r="A229">
        <v>120</v>
      </c>
      <c r="B229">
        <f>HEX2DEC(Tabela1[[#This Row],[VLANStr]])</f>
        <v>288</v>
      </c>
      <c r="C229" t="s">
        <v>11</v>
      </c>
      <c r="D229">
        <f>HEX2DEC(Tabela1[[#This Row],[ecpriIDstr]])</f>
        <v>41136</v>
      </c>
      <c r="E229">
        <v>14</v>
      </c>
      <c r="F229">
        <v>4</v>
      </c>
      <c r="G229">
        <v>0</v>
      </c>
      <c r="H229">
        <v>0</v>
      </c>
      <c r="I229">
        <v>228</v>
      </c>
      <c r="J229" s="1">
        <v>0</v>
      </c>
      <c r="K229" s="1">
        <v>1</v>
      </c>
      <c r="L229">
        <v>1</v>
      </c>
      <c r="M229">
        <v>1</v>
      </c>
    </row>
    <row r="230" spans="1:13" x14ac:dyDescent="0.25">
      <c r="A230">
        <v>120</v>
      </c>
      <c r="B230">
        <f>HEX2DEC(Tabela1[[#This Row],[VLANStr]])</f>
        <v>288</v>
      </c>
      <c r="C230" t="s">
        <v>11</v>
      </c>
      <c r="D230">
        <f>HEX2DEC(Tabela1[[#This Row],[ecpriIDstr]])</f>
        <v>41136</v>
      </c>
      <c r="E230">
        <v>14</v>
      </c>
      <c r="F230">
        <v>5</v>
      </c>
      <c r="G230">
        <v>0</v>
      </c>
      <c r="H230">
        <v>0</v>
      </c>
      <c r="I230">
        <v>229</v>
      </c>
      <c r="J230" s="1">
        <v>0</v>
      </c>
      <c r="K230" s="1">
        <v>1</v>
      </c>
      <c r="L230">
        <v>1</v>
      </c>
      <c r="M230">
        <v>1</v>
      </c>
    </row>
    <row r="231" spans="1:13" x14ac:dyDescent="0.25">
      <c r="A231">
        <v>120</v>
      </c>
      <c r="B231" s="2">
        <f>HEX2DEC(Tabela1[[#This Row],[VLANStr]])</f>
        <v>288</v>
      </c>
      <c r="C231" t="s">
        <v>11</v>
      </c>
      <c r="D231" s="2">
        <f>HEX2DEC(Tabela1[[#This Row],[ecpriIDstr]])</f>
        <v>41136</v>
      </c>
      <c r="E231">
        <v>14</v>
      </c>
      <c r="F231">
        <v>6</v>
      </c>
      <c r="G231">
        <v>0</v>
      </c>
      <c r="H231">
        <v>0</v>
      </c>
      <c r="I231">
        <v>230</v>
      </c>
      <c r="J231" s="1">
        <v>0</v>
      </c>
      <c r="K231" s="1">
        <v>1</v>
      </c>
      <c r="L231">
        <v>1</v>
      </c>
      <c r="M231">
        <v>1</v>
      </c>
    </row>
    <row r="232" spans="1:13" x14ac:dyDescent="0.25">
      <c r="A232">
        <v>120</v>
      </c>
      <c r="B232">
        <f>HEX2DEC(Tabela1[[#This Row],[VLANStr]])</f>
        <v>288</v>
      </c>
      <c r="C232" t="s">
        <v>11</v>
      </c>
      <c r="D232">
        <f>HEX2DEC(Tabela1[[#This Row],[ecpriIDstr]])</f>
        <v>41136</v>
      </c>
      <c r="E232">
        <v>14</v>
      </c>
      <c r="F232">
        <v>7</v>
      </c>
      <c r="G232">
        <v>0</v>
      </c>
      <c r="H232">
        <v>0</v>
      </c>
      <c r="I232">
        <v>231</v>
      </c>
      <c r="J232" s="1">
        <v>0</v>
      </c>
      <c r="K232" s="1">
        <v>1</v>
      </c>
      <c r="L232">
        <v>1</v>
      </c>
      <c r="M232">
        <v>1</v>
      </c>
    </row>
    <row r="233" spans="1:13" x14ac:dyDescent="0.25">
      <c r="A233">
        <v>120</v>
      </c>
      <c r="B233">
        <f>HEX2DEC(Tabela1[[#This Row],[VLANStr]])</f>
        <v>288</v>
      </c>
      <c r="C233" t="s">
        <v>11</v>
      </c>
      <c r="D233">
        <f>HEX2DEC(Tabela1[[#This Row],[ecpriIDstr]])</f>
        <v>41136</v>
      </c>
      <c r="E233">
        <v>14</v>
      </c>
      <c r="F233">
        <v>8</v>
      </c>
      <c r="G233">
        <v>0</v>
      </c>
      <c r="H233">
        <v>0</v>
      </c>
      <c r="I233">
        <v>232</v>
      </c>
      <c r="J233" s="1">
        <v>0</v>
      </c>
      <c r="K233" s="1">
        <v>1</v>
      </c>
      <c r="L233">
        <v>1</v>
      </c>
      <c r="M233">
        <v>1</v>
      </c>
    </row>
    <row r="234" spans="1:13" x14ac:dyDescent="0.25">
      <c r="A234">
        <v>120</v>
      </c>
      <c r="B234" s="2">
        <f>HEX2DEC(Tabela1[[#This Row],[VLANStr]])</f>
        <v>288</v>
      </c>
      <c r="C234" t="s">
        <v>11</v>
      </c>
      <c r="D234" s="2">
        <f>HEX2DEC(Tabela1[[#This Row],[ecpriIDstr]])</f>
        <v>41136</v>
      </c>
      <c r="E234">
        <v>14</v>
      </c>
      <c r="F234">
        <v>9</v>
      </c>
      <c r="G234">
        <v>0</v>
      </c>
      <c r="H234">
        <v>0</v>
      </c>
      <c r="I234">
        <v>233</v>
      </c>
      <c r="J234" s="1">
        <v>0</v>
      </c>
      <c r="K234" s="1">
        <v>1</v>
      </c>
      <c r="L234">
        <v>1</v>
      </c>
      <c r="M234">
        <v>1</v>
      </c>
    </row>
    <row r="235" spans="1:13" x14ac:dyDescent="0.25">
      <c r="A235">
        <v>120</v>
      </c>
      <c r="B235">
        <f>HEX2DEC(Tabela1[[#This Row],[VLANStr]])</f>
        <v>288</v>
      </c>
      <c r="C235" t="s">
        <v>11</v>
      </c>
      <c r="D235">
        <f>HEX2DEC(Tabela1[[#This Row],[ecpriIDstr]])</f>
        <v>41136</v>
      </c>
      <c r="E235">
        <v>14</v>
      </c>
      <c r="F235">
        <v>10</v>
      </c>
      <c r="G235">
        <v>0</v>
      </c>
      <c r="H235">
        <v>0</v>
      </c>
      <c r="I235">
        <v>234</v>
      </c>
      <c r="J235" s="1">
        <v>0</v>
      </c>
      <c r="K235" s="1">
        <v>1</v>
      </c>
      <c r="L235">
        <v>1</v>
      </c>
      <c r="M235">
        <v>1</v>
      </c>
    </row>
    <row r="236" spans="1:13" x14ac:dyDescent="0.25">
      <c r="A236">
        <v>120</v>
      </c>
      <c r="B236">
        <f>HEX2DEC(Tabela1[[#This Row],[VLANStr]])</f>
        <v>288</v>
      </c>
      <c r="C236" t="s">
        <v>11</v>
      </c>
      <c r="D236">
        <f>HEX2DEC(Tabela1[[#This Row],[ecpriIDstr]])</f>
        <v>41136</v>
      </c>
      <c r="E236">
        <v>14</v>
      </c>
      <c r="F236">
        <v>11</v>
      </c>
      <c r="G236">
        <v>0</v>
      </c>
      <c r="H236">
        <v>0</v>
      </c>
      <c r="I236">
        <v>235</v>
      </c>
      <c r="J236" s="1">
        <v>0</v>
      </c>
      <c r="K236" s="1">
        <v>1</v>
      </c>
      <c r="L236">
        <v>1</v>
      </c>
      <c r="M236">
        <v>1</v>
      </c>
    </row>
    <row r="237" spans="1:13" x14ac:dyDescent="0.25">
      <c r="A237">
        <v>120</v>
      </c>
      <c r="B237" s="2">
        <f>HEX2DEC(Tabela1[[#This Row],[VLANStr]])</f>
        <v>288</v>
      </c>
      <c r="C237" t="s">
        <v>11</v>
      </c>
      <c r="D237" s="2">
        <f>HEX2DEC(Tabela1[[#This Row],[ecpriIDstr]])</f>
        <v>41136</v>
      </c>
      <c r="E237">
        <v>14</v>
      </c>
      <c r="F237">
        <v>12</v>
      </c>
      <c r="G237">
        <v>0</v>
      </c>
      <c r="H237">
        <v>0</v>
      </c>
      <c r="I237">
        <v>236</v>
      </c>
      <c r="J237" s="1">
        <v>0</v>
      </c>
      <c r="K237" s="1">
        <v>1</v>
      </c>
      <c r="L237">
        <v>1</v>
      </c>
      <c r="M237">
        <v>1</v>
      </c>
    </row>
    <row r="238" spans="1:13" x14ac:dyDescent="0.25">
      <c r="A238">
        <v>120</v>
      </c>
      <c r="B238">
        <f>HEX2DEC(Tabela1[[#This Row],[VLANStr]])</f>
        <v>288</v>
      </c>
      <c r="C238" t="s">
        <v>11</v>
      </c>
      <c r="D238">
        <f>HEX2DEC(Tabela1[[#This Row],[ecpriIDstr]])</f>
        <v>41136</v>
      </c>
      <c r="E238">
        <v>14</v>
      </c>
      <c r="F238">
        <v>13</v>
      </c>
      <c r="G238">
        <v>0</v>
      </c>
      <c r="H238">
        <v>0</v>
      </c>
      <c r="I238">
        <v>237</v>
      </c>
      <c r="J238" s="1">
        <v>0</v>
      </c>
      <c r="K238" s="1">
        <v>1</v>
      </c>
      <c r="L238">
        <v>1</v>
      </c>
      <c r="M238">
        <v>1</v>
      </c>
    </row>
    <row r="239" spans="1:13" x14ac:dyDescent="0.25">
      <c r="A239">
        <v>120</v>
      </c>
      <c r="B239">
        <f>HEX2DEC(Tabela1[[#This Row],[VLANStr]])</f>
        <v>288</v>
      </c>
      <c r="C239" t="s">
        <v>11</v>
      </c>
      <c r="D239">
        <f>HEX2DEC(Tabela1[[#This Row],[ecpriIDstr]])</f>
        <v>41136</v>
      </c>
      <c r="E239">
        <v>14</v>
      </c>
      <c r="F239">
        <v>14</v>
      </c>
      <c r="G239">
        <v>0</v>
      </c>
      <c r="H239">
        <v>0</v>
      </c>
      <c r="I239">
        <v>238</v>
      </c>
      <c r="J239" s="1">
        <v>0</v>
      </c>
      <c r="K239" s="1">
        <v>1</v>
      </c>
      <c r="L239">
        <v>1</v>
      </c>
      <c r="M239">
        <v>1</v>
      </c>
    </row>
    <row r="240" spans="1:13" x14ac:dyDescent="0.25">
      <c r="A240">
        <v>120</v>
      </c>
      <c r="B240" s="2">
        <f>HEX2DEC(Tabela1[[#This Row],[VLANStr]])</f>
        <v>288</v>
      </c>
      <c r="C240" t="s">
        <v>11</v>
      </c>
      <c r="D240" s="2">
        <f>HEX2DEC(Tabela1[[#This Row],[ecpriIDstr]])</f>
        <v>41136</v>
      </c>
      <c r="E240">
        <v>14</v>
      </c>
      <c r="F240">
        <v>15</v>
      </c>
      <c r="G240">
        <v>0</v>
      </c>
      <c r="H240">
        <v>0</v>
      </c>
      <c r="I240">
        <v>239</v>
      </c>
      <c r="J240" s="1">
        <v>0</v>
      </c>
      <c r="K240" s="1">
        <v>1</v>
      </c>
      <c r="L240">
        <v>1</v>
      </c>
      <c r="M240">
        <v>1</v>
      </c>
    </row>
    <row r="241" spans="1:13" x14ac:dyDescent="0.25">
      <c r="A241">
        <v>120</v>
      </c>
      <c r="B241">
        <f>HEX2DEC(Tabela1[[#This Row],[VLANStr]])</f>
        <v>288</v>
      </c>
      <c r="C241" t="s">
        <v>11</v>
      </c>
      <c r="D241">
        <f>HEX2DEC(Tabela1[[#This Row],[ecpriIDstr]])</f>
        <v>41136</v>
      </c>
      <c r="E241">
        <v>15</v>
      </c>
      <c r="F241">
        <v>0</v>
      </c>
      <c r="G241">
        <v>0</v>
      </c>
      <c r="H241">
        <v>0</v>
      </c>
      <c r="I241">
        <v>240</v>
      </c>
      <c r="J241" s="1">
        <v>0</v>
      </c>
      <c r="K241" s="1">
        <v>1</v>
      </c>
      <c r="L241">
        <v>1</v>
      </c>
      <c r="M241">
        <v>1</v>
      </c>
    </row>
    <row r="242" spans="1:13" x14ac:dyDescent="0.25">
      <c r="A242">
        <v>120</v>
      </c>
      <c r="B242">
        <f>HEX2DEC(Tabela1[[#This Row],[VLANStr]])</f>
        <v>288</v>
      </c>
      <c r="C242" t="s">
        <v>11</v>
      </c>
      <c r="D242">
        <f>HEX2DEC(Tabela1[[#This Row],[ecpriIDstr]])</f>
        <v>41136</v>
      </c>
      <c r="E242">
        <v>15</v>
      </c>
      <c r="F242">
        <v>1</v>
      </c>
      <c r="G242">
        <v>0</v>
      </c>
      <c r="H242">
        <v>0</v>
      </c>
      <c r="I242">
        <v>241</v>
      </c>
      <c r="J242" s="1">
        <v>0</v>
      </c>
      <c r="K242" s="1">
        <v>1</v>
      </c>
      <c r="L242">
        <v>1</v>
      </c>
      <c r="M242">
        <v>1</v>
      </c>
    </row>
    <row r="243" spans="1:13" x14ac:dyDescent="0.25">
      <c r="A243">
        <v>120</v>
      </c>
      <c r="B243" s="2">
        <f>HEX2DEC(Tabela1[[#This Row],[VLANStr]])</f>
        <v>288</v>
      </c>
      <c r="C243" t="s">
        <v>11</v>
      </c>
      <c r="D243" s="2">
        <f>HEX2DEC(Tabela1[[#This Row],[ecpriIDstr]])</f>
        <v>41136</v>
      </c>
      <c r="E243">
        <v>15</v>
      </c>
      <c r="F243">
        <v>2</v>
      </c>
      <c r="G243">
        <v>0</v>
      </c>
      <c r="H243">
        <v>0</v>
      </c>
      <c r="I243">
        <v>242</v>
      </c>
      <c r="J243" s="1">
        <v>0</v>
      </c>
      <c r="K243" s="1">
        <v>1</v>
      </c>
      <c r="L243">
        <v>1</v>
      </c>
      <c r="M243">
        <v>1</v>
      </c>
    </row>
    <row r="244" spans="1:13" x14ac:dyDescent="0.25">
      <c r="A244">
        <v>120</v>
      </c>
      <c r="B244">
        <f>HEX2DEC(Tabela1[[#This Row],[VLANStr]])</f>
        <v>288</v>
      </c>
      <c r="C244" t="s">
        <v>11</v>
      </c>
      <c r="D244">
        <f>HEX2DEC(Tabela1[[#This Row],[ecpriIDstr]])</f>
        <v>41136</v>
      </c>
      <c r="E244">
        <v>15</v>
      </c>
      <c r="F244">
        <v>3</v>
      </c>
      <c r="G244">
        <v>0</v>
      </c>
      <c r="H244">
        <v>0</v>
      </c>
      <c r="I244">
        <v>243</v>
      </c>
      <c r="J244" s="1">
        <v>0</v>
      </c>
      <c r="K244" s="1">
        <v>1</v>
      </c>
      <c r="L244">
        <v>1</v>
      </c>
      <c r="M244">
        <v>1</v>
      </c>
    </row>
    <row r="245" spans="1:13" x14ac:dyDescent="0.25">
      <c r="A245">
        <v>120</v>
      </c>
      <c r="B245">
        <f>HEX2DEC(Tabela1[[#This Row],[VLANStr]])</f>
        <v>288</v>
      </c>
      <c r="C245" t="s">
        <v>11</v>
      </c>
      <c r="D245">
        <f>HEX2DEC(Tabela1[[#This Row],[ecpriIDstr]])</f>
        <v>41136</v>
      </c>
      <c r="E245">
        <v>15</v>
      </c>
      <c r="F245">
        <v>4</v>
      </c>
      <c r="G245">
        <v>0</v>
      </c>
      <c r="H245">
        <v>0</v>
      </c>
      <c r="I245">
        <v>244</v>
      </c>
      <c r="J245" s="1">
        <v>0</v>
      </c>
      <c r="K245" s="1">
        <v>1</v>
      </c>
      <c r="L245">
        <v>1</v>
      </c>
      <c r="M245">
        <v>1</v>
      </c>
    </row>
    <row r="246" spans="1:13" x14ac:dyDescent="0.25">
      <c r="A246">
        <v>120</v>
      </c>
      <c r="B246" s="2">
        <f>HEX2DEC(Tabela1[[#This Row],[VLANStr]])</f>
        <v>288</v>
      </c>
      <c r="C246" t="s">
        <v>11</v>
      </c>
      <c r="D246" s="2">
        <f>HEX2DEC(Tabela1[[#This Row],[ecpriIDstr]])</f>
        <v>41136</v>
      </c>
      <c r="E246">
        <v>15</v>
      </c>
      <c r="F246">
        <v>5</v>
      </c>
      <c r="G246">
        <v>0</v>
      </c>
      <c r="H246">
        <v>0</v>
      </c>
      <c r="I246">
        <v>245</v>
      </c>
      <c r="J246" s="1">
        <v>0</v>
      </c>
      <c r="K246" s="1">
        <v>1</v>
      </c>
      <c r="L246">
        <v>1</v>
      </c>
      <c r="M246">
        <v>1</v>
      </c>
    </row>
    <row r="247" spans="1:13" x14ac:dyDescent="0.25">
      <c r="A247">
        <v>120</v>
      </c>
      <c r="B247">
        <f>HEX2DEC(Tabela1[[#This Row],[VLANStr]])</f>
        <v>288</v>
      </c>
      <c r="C247" t="s">
        <v>11</v>
      </c>
      <c r="D247">
        <f>HEX2DEC(Tabela1[[#This Row],[ecpriIDstr]])</f>
        <v>41136</v>
      </c>
      <c r="E247">
        <v>15</v>
      </c>
      <c r="F247">
        <v>6</v>
      </c>
      <c r="G247">
        <v>0</v>
      </c>
      <c r="H247">
        <v>0</v>
      </c>
      <c r="I247">
        <v>246</v>
      </c>
      <c r="J247" s="1">
        <v>0</v>
      </c>
      <c r="K247" s="1">
        <v>1</v>
      </c>
      <c r="L247">
        <v>1</v>
      </c>
      <c r="M247">
        <v>1</v>
      </c>
    </row>
    <row r="248" spans="1:13" x14ac:dyDescent="0.25">
      <c r="A248">
        <v>120</v>
      </c>
      <c r="B248">
        <f>HEX2DEC(Tabela1[[#This Row],[VLANStr]])</f>
        <v>288</v>
      </c>
      <c r="C248" t="s">
        <v>11</v>
      </c>
      <c r="D248">
        <f>HEX2DEC(Tabela1[[#This Row],[ecpriIDstr]])</f>
        <v>41136</v>
      </c>
      <c r="E248">
        <v>15</v>
      </c>
      <c r="F248">
        <v>7</v>
      </c>
      <c r="G248">
        <v>0</v>
      </c>
      <c r="H248">
        <v>0</v>
      </c>
      <c r="I248">
        <v>247</v>
      </c>
      <c r="J248" s="1">
        <v>0</v>
      </c>
      <c r="K248" s="1">
        <v>1</v>
      </c>
      <c r="L248">
        <v>1</v>
      </c>
      <c r="M248">
        <v>1</v>
      </c>
    </row>
    <row r="249" spans="1:13" x14ac:dyDescent="0.25">
      <c r="A249">
        <v>120</v>
      </c>
      <c r="B249" s="2">
        <f>HEX2DEC(Tabela1[[#This Row],[VLANStr]])</f>
        <v>288</v>
      </c>
      <c r="C249" t="s">
        <v>11</v>
      </c>
      <c r="D249" s="2">
        <f>HEX2DEC(Tabela1[[#This Row],[ecpriIDstr]])</f>
        <v>41136</v>
      </c>
      <c r="E249">
        <v>15</v>
      </c>
      <c r="F249">
        <v>8</v>
      </c>
      <c r="G249">
        <v>0</v>
      </c>
      <c r="H249">
        <v>0</v>
      </c>
      <c r="I249">
        <v>248</v>
      </c>
      <c r="J249" s="1">
        <v>0</v>
      </c>
      <c r="K249" s="1">
        <v>1</v>
      </c>
      <c r="L249">
        <v>1</v>
      </c>
      <c r="M249">
        <v>1</v>
      </c>
    </row>
    <row r="250" spans="1:13" x14ac:dyDescent="0.25">
      <c r="A250">
        <v>120</v>
      </c>
      <c r="B250">
        <f>HEX2DEC(Tabela1[[#This Row],[VLANStr]])</f>
        <v>288</v>
      </c>
      <c r="C250" t="s">
        <v>11</v>
      </c>
      <c r="D250">
        <f>HEX2DEC(Tabela1[[#This Row],[ecpriIDstr]])</f>
        <v>41136</v>
      </c>
      <c r="E250">
        <v>15</v>
      </c>
      <c r="F250">
        <v>9</v>
      </c>
      <c r="G250">
        <v>0</v>
      </c>
      <c r="H250">
        <v>0</v>
      </c>
      <c r="I250">
        <v>249</v>
      </c>
      <c r="J250" s="1">
        <v>0</v>
      </c>
      <c r="K250" s="1">
        <v>1</v>
      </c>
      <c r="L250">
        <v>1</v>
      </c>
      <c r="M250">
        <v>1</v>
      </c>
    </row>
    <row r="251" spans="1:13" x14ac:dyDescent="0.25">
      <c r="A251">
        <v>120</v>
      </c>
      <c r="B251">
        <f>HEX2DEC(Tabela1[[#This Row],[VLANStr]])</f>
        <v>288</v>
      </c>
      <c r="C251" t="s">
        <v>11</v>
      </c>
      <c r="D251">
        <f>HEX2DEC(Tabela1[[#This Row],[ecpriIDstr]])</f>
        <v>41136</v>
      </c>
      <c r="E251">
        <v>15</v>
      </c>
      <c r="F251">
        <v>10</v>
      </c>
      <c r="G251">
        <v>0</v>
      </c>
      <c r="H251">
        <v>0</v>
      </c>
      <c r="I251">
        <v>250</v>
      </c>
      <c r="J251" s="1">
        <v>0</v>
      </c>
      <c r="K251" s="1">
        <v>1</v>
      </c>
      <c r="L251">
        <v>1</v>
      </c>
      <c r="M251">
        <v>1</v>
      </c>
    </row>
    <row r="252" spans="1:13" x14ac:dyDescent="0.25">
      <c r="A252">
        <v>120</v>
      </c>
      <c r="B252" s="2">
        <f>HEX2DEC(Tabela1[[#This Row],[VLANStr]])</f>
        <v>288</v>
      </c>
      <c r="C252" t="s">
        <v>11</v>
      </c>
      <c r="D252" s="2">
        <f>HEX2DEC(Tabela1[[#This Row],[ecpriIDstr]])</f>
        <v>41136</v>
      </c>
      <c r="E252">
        <v>15</v>
      </c>
      <c r="F252">
        <v>11</v>
      </c>
      <c r="G252">
        <v>0</v>
      </c>
      <c r="H252">
        <v>0</v>
      </c>
      <c r="I252">
        <v>251</v>
      </c>
      <c r="J252" s="1">
        <v>0</v>
      </c>
      <c r="K252" s="1">
        <v>1</v>
      </c>
      <c r="L252">
        <v>1</v>
      </c>
      <c r="M252">
        <v>1</v>
      </c>
    </row>
    <row r="253" spans="1:13" x14ac:dyDescent="0.25">
      <c r="A253">
        <v>120</v>
      </c>
      <c r="B253">
        <f>HEX2DEC(Tabela1[[#This Row],[VLANStr]])</f>
        <v>288</v>
      </c>
      <c r="C253" t="s">
        <v>11</v>
      </c>
      <c r="D253">
        <f>HEX2DEC(Tabela1[[#This Row],[ecpriIDstr]])</f>
        <v>41136</v>
      </c>
      <c r="E253">
        <v>15</v>
      </c>
      <c r="F253">
        <v>12</v>
      </c>
      <c r="G253">
        <v>0</v>
      </c>
      <c r="H253">
        <v>0</v>
      </c>
      <c r="I253">
        <v>252</v>
      </c>
      <c r="J253" s="1">
        <v>0</v>
      </c>
      <c r="K253" s="1">
        <v>1</v>
      </c>
      <c r="L253">
        <v>1</v>
      </c>
      <c r="M253">
        <v>1</v>
      </c>
    </row>
    <row r="254" spans="1:13" x14ac:dyDescent="0.25">
      <c r="A254">
        <v>120</v>
      </c>
      <c r="B254">
        <f>HEX2DEC(Tabela1[[#This Row],[VLANStr]])</f>
        <v>288</v>
      </c>
      <c r="C254" t="s">
        <v>11</v>
      </c>
      <c r="D254">
        <f>HEX2DEC(Tabela1[[#This Row],[ecpriIDstr]])</f>
        <v>41136</v>
      </c>
      <c r="E254">
        <v>15</v>
      </c>
      <c r="F254">
        <v>13</v>
      </c>
      <c r="G254">
        <v>0</v>
      </c>
      <c r="H254">
        <v>0</v>
      </c>
      <c r="I254">
        <v>253</v>
      </c>
      <c r="J254" s="1">
        <v>0</v>
      </c>
      <c r="K254" s="1">
        <v>1</v>
      </c>
      <c r="L254">
        <v>1</v>
      </c>
      <c r="M254">
        <v>1</v>
      </c>
    </row>
    <row r="255" spans="1:13" x14ac:dyDescent="0.25">
      <c r="A255">
        <v>120</v>
      </c>
      <c r="B255" s="2">
        <f>HEX2DEC(Tabela1[[#This Row],[VLANStr]])</f>
        <v>288</v>
      </c>
      <c r="C255" t="s">
        <v>11</v>
      </c>
      <c r="D255" s="2">
        <f>HEX2DEC(Tabela1[[#This Row],[ecpriIDstr]])</f>
        <v>41136</v>
      </c>
      <c r="E255">
        <v>15</v>
      </c>
      <c r="F255">
        <v>14</v>
      </c>
      <c r="G255">
        <v>0</v>
      </c>
      <c r="H255">
        <v>0</v>
      </c>
      <c r="I255">
        <v>254</v>
      </c>
      <c r="J255" s="1">
        <v>0</v>
      </c>
      <c r="K255" s="1">
        <v>1</v>
      </c>
      <c r="L255">
        <v>1</v>
      </c>
      <c r="M255">
        <v>1</v>
      </c>
    </row>
    <row r="256" spans="1:13" x14ac:dyDescent="0.25">
      <c r="A256">
        <v>120</v>
      </c>
      <c r="B256">
        <f>HEX2DEC(Tabela1[[#This Row],[VLANStr]])</f>
        <v>288</v>
      </c>
      <c r="C256" t="s">
        <v>11</v>
      </c>
      <c r="D256">
        <f>HEX2DEC(Tabela1[[#This Row],[ecpriIDstr]])</f>
        <v>41136</v>
      </c>
      <c r="E256">
        <v>15</v>
      </c>
      <c r="F256">
        <v>15</v>
      </c>
      <c r="G256">
        <v>0</v>
      </c>
      <c r="H256">
        <v>0</v>
      </c>
      <c r="I256">
        <v>255</v>
      </c>
      <c r="J256" s="1">
        <v>0</v>
      </c>
      <c r="K256" s="1">
        <v>1</v>
      </c>
      <c r="L256">
        <v>1</v>
      </c>
      <c r="M256">
        <v>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Arnhold</dc:creator>
  <cp:lastModifiedBy>Felipe Arnhold</cp:lastModifiedBy>
  <dcterms:created xsi:type="dcterms:W3CDTF">2024-04-17T01:16:25Z</dcterms:created>
  <dcterms:modified xsi:type="dcterms:W3CDTF">2024-04-24T00:20:33Z</dcterms:modified>
</cp:coreProperties>
</file>