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 Scripts\"/>
    </mc:Choice>
  </mc:AlternateContent>
  <xr:revisionPtr revIDLastSave="0" documentId="13_ncr:1_{5966328B-ADC7-4C23-A08B-E59FF6F2429F}" xr6:coauthVersionLast="47" xr6:coauthVersionMax="47" xr10:uidLastSave="{00000000-0000-0000-0000-000000000000}"/>
  <bookViews>
    <workbookView xWindow="-120" yWindow="-120" windowWidth="38640" windowHeight="15720" activeTab="4" xr2:uid="{824D5939-080F-4269-800D-AAF55318D349}"/>
  </bookViews>
  <sheets>
    <sheet name="AllSingle" sheetId="1" r:id="rId1"/>
    <sheet name="PTest" sheetId="4" r:id="rId2"/>
    <sheet name="SimSel" sheetId="2" r:id="rId3"/>
    <sheet name="ProcsTest" sheetId="6" r:id="rId4"/>
    <sheet name="PowerTest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8" l="1"/>
  <c r="B5" i="8"/>
  <c r="D4" i="8"/>
  <c r="B4" i="8"/>
  <c r="D6" i="8"/>
  <c r="B6" i="8"/>
  <c r="B7" i="8"/>
  <c r="D7" i="8"/>
  <c r="B3" i="8"/>
  <c r="D3" i="8"/>
  <c r="D2" i="8"/>
  <c r="B2" i="8"/>
  <c r="D3" i="6"/>
  <c r="B3" i="6"/>
  <c r="D2" i="6"/>
  <c r="B2" i="6"/>
  <c r="B272" i="1"/>
  <c r="D272" i="1"/>
  <c r="B273" i="1"/>
  <c r="D273" i="1"/>
  <c r="B274" i="1"/>
  <c r="D274" i="1"/>
  <c r="D2" i="4"/>
  <c r="B2" i="4"/>
  <c r="D2" i="2" l="1"/>
  <c r="D3" i="2"/>
  <c r="B2" i="2"/>
  <c r="B3" i="2"/>
  <c r="B269" i="1"/>
  <c r="D269" i="1"/>
  <c r="B270" i="1"/>
  <c r="D270" i="1"/>
  <c r="B271" i="1"/>
  <c r="D271" i="1"/>
  <c r="B265" i="1"/>
  <c r="D265" i="1"/>
  <c r="B266" i="1"/>
  <c r="D266" i="1"/>
  <c r="B267" i="1"/>
  <c r="D267" i="1"/>
  <c r="B268" i="1"/>
  <c r="D268" i="1"/>
  <c r="B260" i="1"/>
  <c r="D260" i="1"/>
  <c r="B261" i="1"/>
  <c r="D261" i="1"/>
  <c r="B262" i="1"/>
  <c r="D262" i="1"/>
  <c r="B263" i="1"/>
  <c r="D263" i="1"/>
  <c r="B264" i="1"/>
  <c r="D264" i="1"/>
  <c r="B253" i="1"/>
  <c r="D253" i="1"/>
  <c r="B254" i="1"/>
  <c r="D254" i="1"/>
  <c r="B255" i="1"/>
  <c r="D255" i="1"/>
  <c r="B256" i="1"/>
  <c r="D256" i="1"/>
  <c r="B257" i="1"/>
  <c r="D257" i="1"/>
  <c r="B258" i="1"/>
  <c r="D258" i="1"/>
  <c r="B259" i="1"/>
  <c r="D259" i="1"/>
  <c r="B234" i="1"/>
  <c r="D234" i="1"/>
  <c r="B235" i="1"/>
  <c r="D235" i="1"/>
  <c r="B236" i="1"/>
  <c r="D236" i="1"/>
  <c r="B237" i="1"/>
  <c r="D237" i="1"/>
  <c r="B238" i="1"/>
  <c r="D238" i="1"/>
  <c r="B239" i="1"/>
  <c r="D239" i="1"/>
  <c r="B240" i="1"/>
  <c r="D240" i="1"/>
  <c r="B241" i="1"/>
  <c r="D241" i="1"/>
  <c r="B242" i="1"/>
  <c r="D242" i="1"/>
  <c r="B243" i="1"/>
  <c r="D243" i="1"/>
  <c r="B244" i="1"/>
  <c r="D244" i="1"/>
  <c r="B245" i="1"/>
  <c r="D245" i="1"/>
  <c r="B246" i="1"/>
  <c r="D246" i="1"/>
  <c r="B247" i="1"/>
  <c r="D247" i="1"/>
  <c r="B248" i="1"/>
  <c r="D248" i="1"/>
  <c r="B249" i="1"/>
  <c r="D249" i="1"/>
  <c r="B250" i="1"/>
  <c r="D250" i="1"/>
  <c r="B251" i="1"/>
  <c r="D251" i="1"/>
  <c r="B252" i="1"/>
  <c r="D252" i="1"/>
  <c r="B222" i="1"/>
  <c r="D222" i="1"/>
  <c r="B223" i="1"/>
  <c r="D223" i="1"/>
  <c r="B224" i="1"/>
  <c r="D224" i="1"/>
  <c r="B225" i="1"/>
  <c r="D225" i="1"/>
  <c r="B226" i="1"/>
  <c r="D226" i="1"/>
  <c r="B227" i="1"/>
  <c r="D227" i="1"/>
  <c r="B228" i="1"/>
  <c r="D228" i="1"/>
  <c r="B229" i="1"/>
  <c r="D229" i="1"/>
  <c r="B230" i="1"/>
  <c r="D230" i="1"/>
  <c r="B231" i="1"/>
  <c r="D231" i="1"/>
  <c r="B232" i="1"/>
  <c r="D232" i="1"/>
  <c r="B233" i="1"/>
  <c r="D233" i="1"/>
  <c r="B220" i="1"/>
  <c r="D220" i="1"/>
  <c r="B221" i="1"/>
  <c r="D221" i="1"/>
  <c r="B7" i="1"/>
  <c r="D7" i="1"/>
  <c r="B8" i="1"/>
  <c r="D8" i="1"/>
  <c r="B9" i="1"/>
  <c r="D9" i="1"/>
  <c r="B10" i="1"/>
  <c r="D10" i="1"/>
  <c r="B11" i="1"/>
  <c r="D11" i="1"/>
  <c r="B12" i="1"/>
  <c r="D12" i="1"/>
  <c r="B13" i="1"/>
  <c r="D13" i="1"/>
  <c r="B14" i="1"/>
  <c r="D14" i="1"/>
  <c r="B15" i="1"/>
  <c r="D15" i="1"/>
  <c r="B16" i="1"/>
  <c r="D16" i="1"/>
  <c r="B17" i="1"/>
  <c r="D17" i="1"/>
  <c r="B18" i="1"/>
  <c r="D18" i="1"/>
  <c r="B19" i="1"/>
  <c r="D19" i="1"/>
  <c r="B20" i="1"/>
  <c r="D20" i="1"/>
  <c r="B21" i="1"/>
  <c r="D21" i="1"/>
  <c r="B22" i="1"/>
  <c r="D22" i="1"/>
  <c r="B23" i="1"/>
  <c r="D23" i="1"/>
  <c r="B24" i="1"/>
  <c r="D24" i="1"/>
  <c r="B25" i="1"/>
  <c r="D25" i="1"/>
  <c r="B26" i="1"/>
  <c r="D26" i="1"/>
  <c r="B27" i="1"/>
  <c r="D27" i="1"/>
  <c r="B28" i="1"/>
  <c r="D28" i="1"/>
  <c r="B29" i="1"/>
  <c r="D29" i="1"/>
  <c r="B30" i="1"/>
  <c r="D30" i="1"/>
  <c r="B31" i="1"/>
  <c r="D31" i="1"/>
  <c r="B32" i="1"/>
  <c r="D32" i="1"/>
  <c r="B33" i="1"/>
  <c r="D33" i="1"/>
  <c r="B34" i="1"/>
  <c r="D34" i="1"/>
  <c r="B35" i="1"/>
  <c r="D35" i="1"/>
  <c r="B36" i="1"/>
  <c r="D36" i="1"/>
  <c r="B37" i="1"/>
  <c r="D37" i="1"/>
  <c r="B38" i="1"/>
  <c r="D38" i="1"/>
  <c r="B39" i="1"/>
  <c r="D39" i="1"/>
  <c r="B40" i="1"/>
  <c r="D40" i="1"/>
  <c r="B41" i="1"/>
  <c r="D41" i="1"/>
  <c r="B42" i="1"/>
  <c r="D42" i="1"/>
  <c r="B43" i="1"/>
  <c r="D43" i="1"/>
  <c r="B44" i="1"/>
  <c r="D44" i="1"/>
  <c r="B45" i="1"/>
  <c r="D45" i="1"/>
  <c r="B46" i="1"/>
  <c r="D46" i="1"/>
  <c r="B47" i="1"/>
  <c r="D47" i="1"/>
  <c r="B48" i="1"/>
  <c r="D48" i="1"/>
  <c r="B49" i="1"/>
  <c r="D49" i="1"/>
  <c r="B50" i="1"/>
  <c r="D50" i="1"/>
  <c r="B51" i="1"/>
  <c r="D51" i="1"/>
  <c r="B52" i="1"/>
  <c r="D52" i="1"/>
  <c r="B53" i="1"/>
  <c r="D53" i="1"/>
  <c r="B54" i="1"/>
  <c r="D54" i="1"/>
  <c r="B55" i="1"/>
  <c r="D55" i="1"/>
  <c r="B56" i="1"/>
  <c r="D56" i="1"/>
  <c r="B57" i="1"/>
  <c r="D57" i="1"/>
  <c r="B58" i="1"/>
  <c r="D58" i="1"/>
  <c r="B59" i="1"/>
  <c r="D59" i="1"/>
  <c r="B60" i="1"/>
  <c r="D60" i="1"/>
  <c r="B61" i="1"/>
  <c r="D61" i="1"/>
  <c r="B62" i="1"/>
  <c r="D62" i="1"/>
  <c r="B63" i="1"/>
  <c r="D63" i="1"/>
  <c r="B64" i="1"/>
  <c r="D64" i="1"/>
  <c r="B65" i="1"/>
  <c r="D65" i="1"/>
  <c r="B66" i="1"/>
  <c r="D66" i="1"/>
  <c r="B67" i="1"/>
  <c r="D67" i="1"/>
  <c r="B68" i="1"/>
  <c r="D68" i="1"/>
  <c r="B69" i="1"/>
  <c r="D69" i="1"/>
  <c r="B70" i="1"/>
  <c r="D70" i="1"/>
  <c r="B71" i="1"/>
  <c r="D71" i="1"/>
  <c r="B72" i="1"/>
  <c r="D72" i="1"/>
  <c r="B73" i="1"/>
  <c r="D73" i="1"/>
  <c r="B74" i="1"/>
  <c r="D74" i="1"/>
  <c r="B75" i="1"/>
  <c r="D75" i="1"/>
  <c r="B76" i="1"/>
  <c r="D76" i="1"/>
  <c r="B77" i="1"/>
  <c r="D77" i="1"/>
  <c r="B78" i="1"/>
  <c r="D78" i="1"/>
  <c r="B79" i="1"/>
  <c r="D79" i="1"/>
  <c r="B80" i="1"/>
  <c r="D80" i="1"/>
  <c r="B81" i="1"/>
  <c r="D81" i="1"/>
  <c r="B82" i="1"/>
  <c r="D82" i="1"/>
  <c r="B83" i="1"/>
  <c r="D83" i="1"/>
  <c r="B84" i="1"/>
  <c r="D84" i="1"/>
  <c r="B85" i="1"/>
  <c r="D85" i="1"/>
  <c r="B86" i="1"/>
  <c r="D86" i="1"/>
  <c r="B87" i="1"/>
  <c r="D87" i="1"/>
  <c r="B88" i="1"/>
  <c r="D88" i="1"/>
  <c r="B89" i="1"/>
  <c r="D89" i="1"/>
  <c r="B90" i="1"/>
  <c r="D90" i="1"/>
  <c r="B91" i="1"/>
  <c r="D91" i="1"/>
  <c r="B92" i="1"/>
  <c r="D92" i="1"/>
  <c r="B93" i="1"/>
  <c r="D93" i="1"/>
  <c r="B94" i="1"/>
  <c r="D94" i="1"/>
  <c r="B95" i="1"/>
  <c r="D95" i="1"/>
  <c r="B96" i="1"/>
  <c r="D96" i="1"/>
  <c r="B97" i="1"/>
  <c r="D97" i="1"/>
  <c r="B98" i="1"/>
  <c r="D98" i="1"/>
  <c r="B99" i="1"/>
  <c r="D99" i="1"/>
  <c r="B100" i="1"/>
  <c r="D100" i="1"/>
  <c r="B101" i="1"/>
  <c r="D101" i="1"/>
  <c r="B102" i="1"/>
  <c r="D102" i="1"/>
  <c r="B103" i="1"/>
  <c r="D103" i="1"/>
  <c r="B104" i="1"/>
  <c r="D104" i="1"/>
  <c r="B105" i="1"/>
  <c r="D105" i="1"/>
  <c r="B106" i="1"/>
  <c r="D106" i="1"/>
  <c r="B107" i="1"/>
  <c r="D107" i="1"/>
  <c r="B108" i="1"/>
  <c r="D108" i="1"/>
  <c r="B109" i="1"/>
  <c r="D109" i="1"/>
  <c r="B110" i="1"/>
  <c r="D110" i="1"/>
  <c r="B111" i="1"/>
  <c r="D111" i="1"/>
  <c r="B112" i="1"/>
  <c r="D112" i="1"/>
  <c r="B113" i="1"/>
  <c r="D113" i="1"/>
  <c r="B114" i="1"/>
  <c r="D114" i="1"/>
  <c r="B115" i="1"/>
  <c r="D115" i="1"/>
  <c r="B116" i="1"/>
  <c r="D116" i="1"/>
  <c r="B117" i="1"/>
  <c r="D117" i="1"/>
  <c r="B118" i="1"/>
  <c r="D118" i="1"/>
  <c r="B119" i="1"/>
  <c r="D119" i="1"/>
  <c r="B120" i="1"/>
  <c r="D120" i="1"/>
  <c r="B121" i="1"/>
  <c r="D121" i="1"/>
  <c r="B122" i="1"/>
  <c r="D122" i="1"/>
  <c r="B123" i="1"/>
  <c r="D123" i="1"/>
  <c r="B124" i="1"/>
  <c r="D124" i="1"/>
  <c r="B125" i="1"/>
  <c r="D125" i="1"/>
  <c r="B126" i="1"/>
  <c r="D126" i="1"/>
  <c r="B127" i="1"/>
  <c r="D127" i="1"/>
  <c r="B128" i="1"/>
  <c r="D128" i="1"/>
  <c r="B129" i="1"/>
  <c r="D129" i="1"/>
  <c r="B130" i="1"/>
  <c r="D130" i="1"/>
  <c r="B131" i="1"/>
  <c r="D131" i="1"/>
  <c r="B132" i="1"/>
  <c r="D132" i="1"/>
  <c r="B133" i="1"/>
  <c r="D133" i="1"/>
  <c r="B134" i="1"/>
  <c r="D134" i="1"/>
  <c r="B135" i="1"/>
  <c r="D135" i="1"/>
  <c r="B136" i="1"/>
  <c r="D136" i="1"/>
  <c r="B137" i="1"/>
  <c r="D137" i="1"/>
  <c r="B138" i="1"/>
  <c r="D138" i="1"/>
  <c r="B139" i="1"/>
  <c r="D139" i="1"/>
  <c r="B140" i="1"/>
  <c r="D140" i="1"/>
  <c r="B141" i="1"/>
  <c r="D141" i="1"/>
  <c r="B142" i="1"/>
  <c r="D142" i="1"/>
  <c r="B143" i="1"/>
  <c r="D143" i="1"/>
  <c r="B144" i="1"/>
  <c r="D144" i="1"/>
  <c r="B145" i="1"/>
  <c r="D145" i="1"/>
  <c r="B146" i="1"/>
  <c r="D146" i="1"/>
  <c r="B147" i="1"/>
  <c r="D147" i="1"/>
  <c r="B148" i="1"/>
  <c r="D148" i="1"/>
  <c r="B149" i="1"/>
  <c r="D149" i="1"/>
  <c r="B150" i="1"/>
  <c r="D150" i="1"/>
  <c r="B151" i="1"/>
  <c r="D151" i="1"/>
  <c r="B152" i="1"/>
  <c r="D152" i="1"/>
  <c r="B153" i="1"/>
  <c r="D153" i="1"/>
  <c r="B154" i="1"/>
  <c r="D154" i="1"/>
  <c r="B155" i="1"/>
  <c r="D155" i="1"/>
  <c r="B156" i="1"/>
  <c r="D156" i="1"/>
  <c r="B157" i="1"/>
  <c r="D157" i="1"/>
  <c r="B158" i="1"/>
  <c r="D158" i="1"/>
  <c r="B159" i="1"/>
  <c r="D159" i="1"/>
  <c r="B160" i="1"/>
  <c r="D160" i="1"/>
  <c r="B161" i="1"/>
  <c r="D161" i="1"/>
  <c r="B162" i="1"/>
  <c r="D162" i="1"/>
  <c r="B163" i="1"/>
  <c r="D163" i="1"/>
  <c r="B164" i="1"/>
  <c r="D164" i="1"/>
  <c r="B165" i="1"/>
  <c r="D165" i="1"/>
  <c r="B166" i="1"/>
  <c r="D166" i="1"/>
  <c r="B167" i="1"/>
  <c r="D167" i="1"/>
  <c r="B168" i="1"/>
  <c r="D168" i="1"/>
  <c r="B169" i="1"/>
  <c r="D169" i="1"/>
  <c r="B170" i="1"/>
  <c r="D170" i="1"/>
  <c r="B171" i="1"/>
  <c r="D171" i="1"/>
  <c r="B172" i="1"/>
  <c r="D172" i="1"/>
  <c r="B173" i="1"/>
  <c r="D173" i="1"/>
  <c r="B174" i="1"/>
  <c r="D174" i="1"/>
  <c r="B175" i="1"/>
  <c r="D175" i="1"/>
  <c r="B176" i="1"/>
  <c r="D176" i="1"/>
  <c r="B177" i="1"/>
  <c r="D177" i="1"/>
  <c r="B178" i="1"/>
  <c r="D178" i="1"/>
  <c r="B179" i="1"/>
  <c r="D179" i="1"/>
  <c r="B180" i="1"/>
  <c r="D180" i="1"/>
  <c r="B181" i="1"/>
  <c r="D181" i="1"/>
  <c r="B182" i="1"/>
  <c r="D182" i="1"/>
  <c r="B183" i="1"/>
  <c r="D183" i="1"/>
  <c r="B184" i="1"/>
  <c r="D184" i="1"/>
  <c r="B185" i="1"/>
  <c r="D185" i="1"/>
  <c r="B186" i="1"/>
  <c r="D186" i="1"/>
  <c r="B187" i="1"/>
  <c r="D187" i="1"/>
  <c r="B188" i="1"/>
  <c r="D188" i="1"/>
  <c r="B189" i="1"/>
  <c r="D189" i="1"/>
  <c r="B190" i="1"/>
  <c r="D190" i="1"/>
  <c r="B191" i="1"/>
  <c r="D191" i="1"/>
  <c r="B192" i="1"/>
  <c r="D192" i="1"/>
  <c r="B193" i="1"/>
  <c r="D193" i="1"/>
  <c r="B194" i="1"/>
  <c r="D194" i="1"/>
  <c r="B195" i="1"/>
  <c r="D195" i="1"/>
  <c r="B196" i="1"/>
  <c r="D196" i="1"/>
  <c r="B197" i="1"/>
  <c r="D197" i="1"/>
  <c r="B198" i="1"/>
  <c r="D198" i="1"/>
  <c r="B199" i="1"/>
  <c r="D199" i="1"/>
  <c r="B200" i="1"/>
  <c r="D200" i="1"/>
  <c r="B201" i="1"/>
  <c r="D201" i="1"/>
  <c r="B202" i="1"/>
  <c r="D202" i="1"/>
  <c r="B203" i="1"/>
  <c r="D203" i="1"/>
  <c r="B204" i="1"/>
  <c r="D204" i="1"/>
  <c r="B205" i="1"/>
  <c r="D205" i="1"/>
  <c r="B206" i="1"/>
  <c r="D206" i="1"/>
  <c r="B207" i="1"/>
  <c r="D207" i="1"/>
  <c r="B208" i="1"/>
  <c r="D208" i="1"/>
  <c r="B209" i="1"/>
  <c r="D209" i="1"/>
  <c r="B210" i="1"/>
  <c r="D210" i="1"/>
  <c r="B211" i="1"/>
  <c r="D211" i="1"/>
  <c r="B212" i="1"/>
  <c r="D212" i="1"/>
  <c r="B213" i="1"/>
  <c r="D213" i="1"/>
  <c r="B214" i="1"/>
  <c r="D214" i="1"/>
  <c r="B215" i="1"/>
  <c r="D215" i="1"/>
  <c r="B216" i="1"/>
  <c r="D216" i="1"/>
  <c r="B217" i="1"/>
  <c r="D217" i="1"/>
  <c r="B218" i="1"/>
  <c r="D218" i="1"/>
  <c r="B219" i="1"/>
  <c r="D219" i="1"/>
  <c r="B3" i="1"/>
  <c r="D3" i="1"/>
  <c r="B4" i="1"/>
  <c r="D4" i="1"/>
  <c r="B5" i="1"/>
  <c r="D5" i="1"/>
  <c r="B6" i="1"/>
  <c r="D6" i="1"/>
  <c r="D2" i="1"/>
  <c r="B2" i="1"/>
</calcChain>
</file>

<file path=xl/sharedStrings.xml><?xml version="1.0" encoding="utf-8"?>
<sst xmlns="http://schemas.openxmlformats.org/spreadsheetml/2006/main" count="353" uniqueCount="21">
  <si>
    <t>FrameID</t>
  </si>
  <si>
    <t>SubframeID</t>
  </si>
  <si>
    <t>SlotID</t>
  </si>
  <si>
    <t>StartPRB</t>
  </si>
  <si>
    <t>ecpriID</t>
  </si>
  <si>
    <t>Vlan</t>
  </si>
  <si>
    <t>VLANStr</t>
  </si>
  <si>
    <t>nPRB</t>
  </si>
  <si>
    <t>StartSymb</t>
  </si>
  <si>
    <t>nSymb</t>
  </si>
  <si>
    <t>ecpriIDstr</t>
  </si>
  <si>
    <t>A0B0</t>
  </si>
  <si>
    <t>Nslot</t>
  </si>
  <si>
    <t>SlotP</t>
  </si>
  <si>
    <t>A0A0</t>
  </si>
  <si>
    <t>B0B0</t>
  </si>
  <si>
    <t>12B</t>
  </si>
  <si>
    <t>A0D0</t>
  </si>
  <si>
    <t>A0B1</t>
  </si>
  <si>
    <t>A0B2</t>
  </si>
  <si>
    <t>A0B3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</si>
</sst>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2" fillId="2" borderId="2" xfId="0" applyFont="1" applyFill="1" applyBorder="1"/>
    <xf numFmtId="0" fontId="0" fillId="0" borderId="3" xfId="0" applyBorder="1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BC38F-FD1F-429C-A176-93BF0FFF4C32}" name="Tabela1" displayName="Tabela1" ref="A1:M274" totalsRowShown="0">
  <autoFilter ref="A1:M274" xr:uid="{2EEBC38F-FD1F-429C-A176-93BF0FFF4C32}"/>
  <tableColumns count="13">
    <tableColumn id="1" xr3:uid="{81026202-A98D-4130-91E4-DD796D2080A9}" name="VLANStr"/>
    <tableColumn id="2" xr3:uid="{4C99F282-0858-4CBF-ABDE-A7EB0B2153FE}" name="Vlan" dataDxfId="27">
      <calculatedColumnFormula>HEX2DEC(Tabela1[[#This Row],[VLANStr]])</calculatedColumnFormula>
    </tableColumn>
    <tableColumn id="3" xr3:uid="{CE273171-0024-439C-84C9-6AFCA5F4F9A2}" name="ecpriIDstr"/>
    <tableColumn id="4" xr3:uid="{7201C26A-22B5-4BF2-95C8-61D65E4223A2}" name="ecpriID" dataDxfId="26">
      <calculatedColumnFormula>HEX2DEC(Tabela1[[#This Row],[ecpriIDstr]])</calculatedColumnFormula>
    </tableColumn>
    <tableColumn id="5" xr3:uid="{570466E1-C974-49B0-B8CE-D16CB9A62376}" name="FrameID"/>
    <tableColumn id="6" xr3:uid="{599FE480-9ED7-45EF-98D5-6EAFBCB608F1}" name="SubframeID"/>
    <tableColumn id="7" xr3:uid="{0C5FCCEC-B116-44C7-8C2F-61CEF2E26A2A}" name="SlotID"/>
    <tableColumn id="8" xr3:uid="{278407DA-B970-49BB-993F-D2D6F7B19848}" name="StartPRB"/>
    <tableColumn id="9" xr3:uid="{6EBF6960-6C13-4B4F-850D-EBA85BD10559}" name="nPRB"/>
    <tableColumn id="10" xr3:uid="{F3C4A8F1-B438-42B0-BBFD-68DA8FF506B3}" name="StartSymb" dataDxfId="25"/>
    <tableColumn id="11" xr3:uid="{D76FB660-0106-4355-A354-D2B7296E9D77}" name="nSymb" dataDxfId="24"/>
    <tableColumn id="12" xr3:uid="{83B8C1B0-A83B-4272-9529-3E40F42948CE}" name="Nslot"/>
    <tableColumn id="13" xr3:uid="{99953A1B-A4B9-4DFA-A930-5624F5DAA40B}" name="Slot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EEE0E2-F2F0-4119-8FAE-09E62CB2F40D}" name="Tabela24" displayName="Tabela24" ref="A1:M2" totalsRowShown="0" headerRowDxfId="23" headerRowBorderDxfId="22" tableBorderDxfId="21" totalsRowBorderDxfId="20">
  <autoFilter ref="A1:M2" xr:uid="{0C9E6F22-E05C-434F-AF24-7F9CE637FE66}"/>
  <tableColumns count="13">
    <tableColumn id="1" xr3:uid="{9041FA71-E7E8-42A9-BB91-71BFD679AB0D}" name="VLANStr"/>
    <tableColumn id="2" xr3:uid="{8EE30CC0-BB1D-4740-8F52-D89E589D2F85}" name="Vlan" dataDxfId="19">
      <calculatedColumnFormula>HEX2DEC(Tabela24[[#This Row],[VLANStr]])</calculatedColumnFormula>
    </tableColumn>
    <tableColumn id="3" xr3:uid="{2727893A-EB3C-405E-9D95-4286DAE0B52E}" name="ecpriIDstr"/>
    <tableColumn id="4" xr3:uid="{4929B384-D01E-45EC-8D71-823561225CE3}" name="ecpriID" dataDxfId="18">
      <calculatedColumnFormula>HEX2DEC(Tabela24[[#This Row],[ecpriIDstr]])</calculatedColumnFormula>
    </tableColumn>
    <tableColumn id="5" xr3:uid="{3169F938-8A80-4C37-A8A0-49BE1C5DC9BD}" name="FrameID"/>
    <tableColumn id="6" xr3:uid="{E32662EC-E7EE-4DC8-9A5E-DE263475CE23}" name="SubframeID"/>
    <tableColumn id="7" xr3:uid="{024F8F7C-4D6B-4594-B34D-E785623B8341}" name="SlotID"/>
    <tableColumn id="8" xr3:uid="{99DE8CEA-CA4C-43E2-A7AD-4E20F7D10F67}" name="StartPRB"/>
    <tableColumn id="9" xr3:uid="{C96C2310-AF60-4FAF-B784-E2CD0D516D1D}" name="nPRB"/>
    <tableColumn id="10" xr3:uid="{1C7031D4-9882-4A40-AECA-CB3908693C1E}" name="StartSymb"/>
    <tableColumn id="11" xr3:uid="{43E5A252-5345-4AE6-B0CB-002182D34C0A}" name="nSymb"/>
    <tableColumn id="12" xr3:uid="{592F83D0-7BB5-4070-8574-7C6D05EF62B6}" name="Nslot"/>
    <tableColumn id="13" xr3:uid="{BD5E8469-C4D0-4D00-AB91-DC0446F9943A}" name="Slot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9E6F22-E05C-434F-AF24-7F9CE637FE66}" name="Tabela2" displayName="Tabela2" ref="A1:M3" totalsRowShown="0" headerRowDxfId="17" headerRowBorderDxfId="16" tableBorderDxfId="15" totalsRowBorderDxfId="14">
  <autoFilter ref="A1:M3" xr:uid="{0C9E6F22-E05C-434F-AF24-7F9CE637FE66}"/>
  <tableColumns count="13">
    <tableColumn id="1" xr3:uid="{DB6AF5E8-26BF-47F7-9810-7042E140B4F0}" name="VLANStr"/>
    <tableColumn id="2" xr3:uid="{19E9D86F-E41E-4736-B57C-561A1D8F0293}" name="Vlan" dataDxfId="13">
      <calculatedColumnFormula>HEX2DEC(Tabela2[[#This Row],[VLANStr]])</calculatedColumnFormula>
    </tableColumn>
    <tableColumn id="3" xr3:uid="{72238AA9-8906-463E-9FF5-64288800FBB1}" name="ecpriIDstr"/>
    <tableColumn id="4" xr3:uid="{BF214989-86C9-4B09-8448-D9C4C2708046}" name="ecpriID" dataDxfId="12">
      <calculatedColumnFormula>HEX2DEC(Tabela2[[#This Row],[ecpriIDstr]])</calculatedColumnFormula>
    </tableColumn>
    <tableColumn id="5" xr3:uid="{BD4438BF-C53D-431A-A030-C300A4FBC7B9}" name="FrameID"/>
    <tableColumn id="6" xr3:uid="{6589F174-2DA2-422C-B24C-C92AADB00AE7}" name="SubframeID"/>
    <tableColumn id="7" xr3:uid="{B372A69B-F1BE-4F60-9340-ADAC572BF97B}" name="SlotID"/>
    <tableColumn id="8" xr3:uid="{3B07E366-E350-4E5D-B710-0E7B623FC1B2}" name="StartPRB"/>
    <tableColumn id="9" xr3:uid="{4FFB63C3-7E1A-40B3-AD9F-AB38A5016DA0}" name="nPRB"/>
    <tableColumn id="10" xr3:uid="{29EC8023-A62C-49EF-AA4A-773353FB839B}" name="StartSymb"/>
    <tableColumn id="11" xr3:uid="{666C5BD1-506B-41EB-93DB-EFE5C21C3542}" name="nSymb"/>
    <tableColumn id="12" xr3:uid="{2C9407E0-5F00-4370-88F3-EB8A3DD7D596}" name="Nslot"/>
    <tableColumn id="13" xr3:uid="{F2885C24-FDE6-4A86-993D-60CB7298A151}" name="Slot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5D63C1-4738-4858-8486-51E2E4315FCF}" name="Tabela25" displayName="Tabela25" ref="A1:M3" totalsRowShown="0" headerRowDxfId="11" headerRowBorderDxfId="10" tableBorderDxfId="9" totalsRowBorderDxfId="8">
  <autoFilter ref="A1:M3" xr:uid="{0C9E6F22-E05C-434F-AF24-7F9CE637FE66}"/>
  <tableColumns count="13">
    <tableColumn id="1" xr3:uid="{FB284435-D64C-420A-8569-D79379F4CF1C}" name="VLANStr"/>
    <tableColumn id="2" xr3:uid="{D87C954F-E4B6-45C7-876D-762F3DB8F23B}" name="Vlan" dataDxfId="7">
      <calculatedColumnFormula>HEX2DEC(Tabela25[[#This Row],[VLANStr]])</calculatedColumnFormula>
    </tableColumn>
    <tableColumn id="3" xr3:uid="{A06D810A-8653-4504-9395-959F6B6DD307}" name="ecpriIDstr"/>
    <tableColumn id="4" xr3:uid="{33F3C0A0-ACB6-42C4-AE93-700EF7C239B3}" name="ecpriID" dataDxfId="6">
      <calculatedColumnFormula>HEX2DEC(Tabela25[[#This Row],[ecpriIDstr]])</calculatedColumnFormula>
    </tableColumn>
    <tableColumn id="5" xr3:uid="{6CEF7C73-13CB-400D-B438-917227495FFC}" name="FrameID"/>
    <tableColumn id="6" xr3:uid="{21ECD90A-606D-4C85-9679-34C431B3F0A9}" name="SubframeID"/>
    <tableColumn id="7" xr3:uid="{D0702921-2627-416A-B623-18CDAB640313}" name="SlotID"/>
    <tableColumn id="8" xr3:uid="{5A9E20B0-C826-4531-B033-0CD364A1AFCE}" name="StartPRB"/>
    <tableColumn id="9" xr3:uid="{56F594C9-563A-4C9D-B5D6-FDEDBE79185C}" name="nPRB"/>
    <tableColumn id="10" xr3:uid="{0D2FFAB7-7F83-48FD-9B87-07BE855F3F29}" name="StartSymb"/>
    <tableColumn id="11" xr3:uid="{65323C0B-CC96-4D6F-94E0-DC7DBD814F88}" name="nSymb"/>
    <tableColumn id="12" xr3:uid="{A0039027-E67D-4C89-8183-34EDA85B623E}" name="Nslot"/>
    <tableColumn id="13" xr3:uid="{69F5AC0B-C104-410B-AD03-318255FB7368}" name="Slot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D6424F-24E5-4F9A-9CEE-1741C00427CA}" name="Tabela256" displayName="Tabela256" ref="A1:M7" totalsRowShown="0" headerRowDxfId="5" headerRowBorderDxfId="4" tableBorderDxfId="3" totalsRowBorderDxfId="2">
  <autoFilter ref="A1:M7" xr:uid="{0C9E6F22-E05C-434F-AF24-7F9CE637FE66}"/>
  <tableColumns count="13">
    <tableColumn id="1" xr3:uid="{91408EEF-6D49-426A-AA2D-9773AFD89962}" name="VLANStr"/>
    <tableColumn id="2" xr3:uid="{87B67C2B-3498-482B-9DD4-BA5CBCE16708}" name="Vlan" dataDxfId="1">
      <calculatedColumnFormula>HEX2DEC(Tabela256[[#This Row],[VLANStr]])</calculatedColumnFormula>
    </tableColumn>
    <tableColumn id="3" xr3:uid="{A0C86EA2-722D-4498-AE08-19295EEF6113}" name="ecpriIDstr"/>
    <tableColumn id="4" xr3:uid="{31FE70FA-3D5E-4BEB-9CD7-ED62A3560E10}" name="ecpriID" dataDxfId="0">
      <calculatedColumnFormula>HEX2DEC(Tabela256[[#This Row],[ecpriIDstr]])</calculatedColumnFormula>
    </tableColumn>
    <tableColumn id="5" xr3:uid="{FE83D220-31B1-4ABF-9837-81EA5EE3E8DD}" name="FrameID"/>
    <tableColumn id="6" xr3:uid="{729FA965-770A-4207-AA29-337DB0316C67}" name="SubframeID"/>
    <tableColumn id="7" xr3:uid="{681C1B75-950C-4E06-AA52-F8CBA3051F31}" name="SlotID"/>
    <tableColumn id="8" xr3:uid="{771BB0A2-695F-42AF-AE51-6AC9989E75EF}" name="StartPRB"/>
    <tableColumn id="9" xr3:uid="{939E6AF5-23E0-45BB-9F79-9C8A6A8F35EC}" name="nPRB"/>
    <tableColumn id="10" xr3:uid="{5422C674-EBF5-4E4B-B9E0-3E79CB36BEEA}" name="StartSymb"/>
    <tableColumn id="11" xr3:uid="{7B504285-48FD-41E6-81EC-8263694C995A}" name="nSymb"/>
    <tableColumn id="12" xr3:uid="{AA6A61CD-EDEF-43CA-8FEE-D9F0409A0F1D}" name="Nslot"/>
    <tableColumn id="13" xr3:uid="{B43031C8-DD60-4DC4-923F-68A8708EA285}" name="Slot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0B60-870A-4AF8-8477-688E93A5FFE9}">
  <dimension ref="A1:M274"/>
  <sheetViews>
    <sheetView zoomScaleNormal="100" workbookViewId="0">
      <selection activeCell="F284" sqref="F284"/>
    </sheetView>
  </sheetViews>
  <sheetFormatPr defaultRowHeight="15" x14ac:dyDescent="0.25"/>
  <cols>
    <col min="1" max="1" width="10.42578125" customWidth="1"/>
    <col min="2" max="2" width="9.140625" customWidth="1"/>
    <col min="3" max="3" width="11.7109375" customWidth="1"/>
    <col min="4" max="4" width="10.28515625" customWidth="1"/>
    <col min="5" max="5" width="10.5703125" customWidth="1"/>
    <col min="6" max="6" width="13.5703125" customWidth="1"/>
    <col min="8" max="8" width="10.7109375" customWidth="1"/>
    <col min="10" max="10" width="12.140625" customWidth="1"/>
  </cols>
  <sheetData>
    <row r="1" spans="1:13" x14ac:dyDescent="0.25">
      <c r="A1" t="s">
        <v>6</v>
      </c>
      <c r="B1" t="s">
        <v>5</v>
      </c>
      <c r="C1" t="s">
        <v>10</v>
      </c>
      <c r="D1" t="s">
        <v>4</v>
      </c>
      <c r="E1" t="s">
        <v>0</v>
      </c>
      <c r="F1" t="s">
        <v>1</v>
      </c>
      <c r="G1" t="s">
        <v>2</v>
      </c>
      <c r="H1" t="s">
        <v>3</v>
      </c>
      <c r="I1" t="s">
        <v>7</v>
      </c>
      <c r="J1" t="s">
        <v>8</v>
      </c>
      <c r="K1" t="s">
        <v>9</v>
      </c>
      <c r="L1" t="s">
        <v>12</v>
      </c>
      <c r="M1" t="s">
        <v>13</v>
      </c>
    </row>
    <row r="2" spans="1:13" x14ac:dyDescent="0.25">
      <c r="A2">
        <v>123</v>
      </c>
      <c r="B2">
        <f>HEX2DEC(Tabela1[[#This Row],[VLANStr]])</f>
        <v>291</v>
      </c>
      <c r="C2" t="s">
        <v>14</v>
      </c>
      <c r="D2">
        <f>HEX2DEC(Tabela1[[#This Row],[ecpriIDstr]])</f>
        <v>41120</v>
      </c>
      <c r="E2">
        <v>0</v>
      </c>
      <c r="F2">
        <v>2</v>
      </c>
      <c r="G2">
        <v>0</v>
      </c>
      <c r="H2">
        <v>0</v>
      </c>
      <c r="I2">
        <v>1</v>
      </c>
      <c r="J2">
        <v>0</v>
      </c>
      <c r="K2">
        <v>1</v>
      </c>
      <c r="L2">
        <v>1</v>
      </c>
      <c r="M2">
        <v>1</v>
      </c>
    </row>
    <row r="3" spans="1:13" x14ac:dyDescent="0.25">
      <c r="A3">
        <v>123</v>
      </c>
      <c r="B3">
        <f>HEX2DEC(Tabela1[[#This Row],[VLANStr]])</f>
        <v>291</v>
      </c>
      <c r="C3" t="s">
        <v>14</v>
      </c>
      <c r="D3">
        <f>HEX2DEC(Tabela1[[#This Row],[ecpriIDstr]])</f>
        <v>41120</v>
      </c>
      <c r="E3">
        <v>0</v>
      </c>
      <c r="F3">
        <v>2</v>
      </c>
      <c r="G3">
        <v>0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</row>
    <row r="4" spans="1:13" x14ac:dyDescent="0.25">
      <c r="A4">
        <v>123</v>
      </c>
      <c r="B4">
        <f>HEX2DEC(Tabela1[[#This Row],[VLANStr]])</f>
        <v>291</v>
      </c>
      <c r="C4" t="s">
        <v>14</v>
      </c>
      <c r="D4">
        <f>HEX2DEC(Tabela1[[#This Row],[ecpriIDstr]])</f>
        <v>41120</v>
      </c>
      <c r="E4">
        <v>0</v>
      </c>
      <c r="F4">
        <v>2</v>
      </c>
      <c r="G4">
        <v>0</v>
      </c>
      <c r="H4">
        <v>2</v>
      </c>
      <c r="I4">
        <v>1</v>
      </c>
      <c r="J4">
        <v>0</v>
      </c>
      <c r="K4">
        <v>1</v>
      </c>
      <c r="L4">
        <v>1</v>
      </c>
      <c r="M4">
        <v>1</v>
      </c>
    </row>
    <row r="5" spans="1:13" x14ac:dyDescent="0.25">
      <c r="A5">
        <v>123</v>
      </c>
      <c r="B5">
        <f>HEX2DEC(Tabela1[[#This Row],[VLANStr]])</f>
        <v>291</v>
      </c>
      <c r="C5" t="s">
        <v>14</v>
      </c>
      <c r="D5">
        <f>HEX2DEC(Tabela1[[#This Row],[ecpriIDstr]])</f>
        <v>41120</v>
      </c>
      <c r="E5">
        <v>0</v>
      </c>
      <c r="F5">
        <v>2</v>
      </c>
      <c r="G5">
        <v>0</v>
      </c>
      <c r="H5">
        <v>3</v>
      </c>
      <c r="I5">
        <v>1</v>
      </c>
      <c r="J5">
        <v>0</v>
      </c>
      <c r="K5">
        <v>1</v>
      </c>
      <c r="L5">
        <v>1</v>
      </c>
      <c r="M5">
        <v>1</v>
      </c>
    </row>
    <row r="6" spans="1:13" x14ac:dyDescent="0.25">
      <c r="A6">
        <v>123</v>
      </c>
      <c r="B6">
        <f>HEX2DEC(Tabela1[[#This Row],[VLANStr]])</f>
        <v>291</v>
      </c>
      <c r="C6" t="s">
        <v>14</v>
      </c>
      <c r="D6">
        <f>HEX2DEC(Tabela1[[#This Row],[ecpriIDstr]])</f>
        <v>41120</v>
      </c>
      <c r="E6">
        <v>0</v>
      </c>
      <c r="F6">
        <v>2</v>
      </c>
      <c r="G6">
        <v>0</v>
      </c>
      <c r="H6">
        <v>4</v>
      </c>
      <c r="I6">
        <v>1</v>
      </c>
      <c r="J6">
        <v>0</v>
      </c>
      <c r="K6">
        <v>1</v>
      </c>
      <c r="L6">
        <v>1</v>
      </c>
      <c r="M6">
        <v>1</v>
      </c>
    </row>
    <row r="7" spans="1:13" x14ac:dyDescent="0.25">
      <c r="A7">
        <v>123</v>
      </c>
      <c r="B7">
        <f>HEX2DEC(Tabela1[[#This Row],[VLANStr]])</f>
        <v>291</v>
      </c>
      <c r="C7" t="s">
        <v>14</v>
      </c>
      <c r="D7">
        <f>HEX2DEC(Tabela1[[#This Row],[ecpriIDstr]])</f>
        <v>41120</v>
      </c>
      <c r="E7">
        <v>0</v>
      </c>
      <c r="F7">
        <v>2</v>
      </c>
      <c r="G7">
        <v>0</v>
      </c>
      <c r="H7">
        <v>5</v>
      </c>
      <c r="I7">
        <v>1</v>
      </c>
      <c r="J7">
        <v>0</v>
      </c>
      <c r="K7">
        <v>1</v>
      </c>
      <c r="L7">
        <v>1</v>
      </c>
      <c r="M7">
        <v>1</v>
      </c>
    </row>
    <row r="8" spans="1:13" x14ac:dyDescent="0.25">
      <c r="A8">
        <v>123</v>
      </c>
      <c r="B8">
        <f>HEX2DEC(Tabela1[[#This Row],[VLANStr]])</f>
        <v>291</v>
      </c>
      <c r="C8" t="s">
        <v>14</v>
      </c>
      <c r="D8">
        <f>HEX2DEC(Tabela1[[#This Row],[ecpriIDstr]])</f>
        <v>41120</v>
      </c>
      <c r="E8">
        <v>0</v>
      </c>
      <c r="F8">
        <v>2</v>
      </c>
      <c r="G8">
        <v>0</v>
      </c>
      <c r="H8">
        <v>6</v>
      </c>
      <c r="I8">
        <v>1</v>
      </c>
      <c r="J8">
        <v>0</v>
      </c>
      <c r="K8">
        <v>1</v>
      </c>
      <c r="L8">
        <v>1</v>
      </c>
      <c r="M8">
        <v>1</v>
      </c>
    </row>
    <row r="9" spans="1:13" x14ac:dyDescent="0.25">
      <c r="A9">
        <v>123</v>
      </c>
      <c r="B9">
        <f>HEX2DEC(Tabela1[[#This Row],[VLANStr]])</f>
        <v>291</v>
      </c>
      <c r="C9" t="s">
        <v>14</v>
      </c>
      <c r="D9">
        <f>HEX2DEC(Tabela1[[#This Row],[ecpriIDstr]])</f>
        <v>41120</v>
      </c>
      <c r="E9">
        <v>0</v>
      </c>
      <c r="F9">
        <v>2</v>
      </c>
      <c r="G9">
        <v>0</v>
      </c>
      <c r="H9">
        <v>7</v>
      </c>
      <c r="I9">
        <v>1</v>
      </c>
      <c r="J9">
        <v>0</v>
      </c>
      <c r="K9">
        <v>1</v>
      </c>
      <c r="L9">
        <v>1</v>
      </c>
      <c r="M9">
        <v>1</v>
      </c>
    </row>
    <row r="10" spans="1:13" x14ac:dyDescent="0.25">
      <c r="A10">
        <v>123</v>
      </c>
      <c r="B10">
        <f>HEX2DEC(Tabela1[[#This Row],[VLANStr]])</f>
        <v>291</v>
      </c>
      <c r="C10" t="s">
        <v>14</v>
      </c>
      <c r="D10">
        <f>HEX2DEC(Tabela1[[#This Row],[ecpriIDstr]])</f>
        <v>41120</v>
      </c>
      <c r="E10">
        <v>0</v>
      </c>
      <c r="F10">
        <v>2</v>
      </c>
      <c r="G10">
        <v>0</v>
      </c>
      <c r="H10">
        <v>8</v>
      </c>
      <c r="I10">
        <v>1</v>
      </c>
      <c r="J10">
        <v>0</v>
      </c>
      <c r="K10">
        <v>1</v>
      </c>
      <c r="L10">
        <v>1</v>
      </c>
      <c r="M10">
        <v>1</v>
      </c>
    </row>
    <row r="11" spans="1:13" x14ac:dyDescent="0.25">
      <c r="A11">
        <v>123</v>
      </c>
      <c r="B11">
        <f>HEX2DEC(Tabela1[[#This Row],[VLANStr]])</f>
        <v>291</v>
      </c>
      <c r="C11" t="s">
        <v>14</v>
      </c>
      <c r="D11">
        <f>HEX2DEC(Tabela1[[#This Row],[ecpriIDstr]])</f>
        <v>41120</v>
      </c>
      <c r="E11">
        <v>0</v>
      </c>
      <c r="F11">
        <v>2</v>
      </c>
      <c r="G11">
        <v>0</v>
      </c>
      <c r="H11">
        <v>9</v>
      </c>
      <c r="I11">
        <v>1</v>
      </c>
      <c r="J11">
        <v>0</v>
      </c>
      <c r="K11">
        <v>1</v>
      </c>
      <c r="L11">
        <v>1</v>
      </c>
      <c r="M11">
        <v>1</v>
      </c>
    </row>
    <row r="12" spans="1:13" x14ac:dyDescent="0.25">
      <c r="A12">
        <v>123</v>
      </c>
      <c r="B12">
        <f>HEX2DEC(Tabela1[[#This Row],[VLANStr]])</f>
        <v>291</v>
      </c>
      <c r="C12" t="s">
        <v>14</v>
      </c>
      <c r="D12">
        <f>HEX2DEC(Tabela1[[#This Row],[ecpriIDstr]])</f>
        <v>41120</v>
      </c>
      <c r="E12">
        <v>0</v>
      </c>
      <c r="F12">
        <v>2</v>
      </c>
      <c r="G12">
        <v>0</v>
      </c>
      <c r="H12">
        <v>10</v>
      </c>
      <c r="I12">
        <v>1</v>
      </c>
      <c r="J12">
        <v>0</v>
      </c>
      <c r="K12">
        <v>1</v>
      </c>
      <c r="L12">
        <v>1</v>
      </c>
      <c r="M12">
        <v>1</v>
      </c>
    </row>
    <row r="13" spans="1:13" x14ac:dyDescent="0.25">
      <c r="A13">
        <v>123</v>
      </c>
      <c r="B13">
        <f>HEX2DEC(Tabela1[[#This Row],[VLANStr]])</f>
        <v>291</v>
      </c>
      <c r="C13" t="s">
        <v>14</v>
      </c>
      <c r="D13">
        <f>HEX2DEC(Tabela1[[#This Row],[ecpriIDstr]])</f>
        <v>41120</v>
      </c>
      <c r="E13">
        <v>0</v>
      </c>
      <c r="F13">
        <v>2</v>
      </c>
      <c r="G13">
        <v>0</v>
      </c>
      <c r="H13">
        <v>11</v>
      </c>
      <c r="I13">
        <v>1</v>
      </c>
      <c r="J13">
        <v>0</v>
      </c>
      <c r="K13">
        <v>1</v>
      </c>
      <c r="L13">
        <v>1</v>
      </c>
      <c r="M13">
        <v>1</v>
      </c>
    </row>
    <row r="14" spans="1:13" x14ac:dyDescent="0.25">
      <c r="A14">
        <v>123</v>
      </c>
      <c r="B14">
        <f>HEX2DEC(Tabela1[[#This Row],[VLANStr]])</f>
        <v>291</v>
      </c>
      <c r="C14" t="s">
        <v>14</v>
      </c>
      <c r="D14">
        <f>HEX2DEC(Tabela1[[#This Row],[ecpriIDstr]])</f>
        <v>41120</v>
      </c>
      <c r="E14">
        <v>0</v>
      </c>
      <c r="F14">
        <v>2</v>
      </c>
      <c r="G14">
        <v>0</v>
      </c>
      <c r="H14">
        <v>12</v>
      </c>
      <c r="I14">
        <v>1</v>
      </c>
      <c r="J14">
        <v>0</v>
      </c>
      <c r="K14">
        <v>1</v>
      </c>
      <c r="L14">
        <v>1</v>
      </c>
      <c r="M14">
        <v>1</v>
      </c>
    </row>
    <row r="15" spans="1:13" x14ac:dyDescent="0.25">
      <c r="A15">
        <v>123</v>
      </c>
      <c r="B15">
        <f>HEX2DEC(Tabela1[[#This Row],[VLANStr]])</f>
        <v>291</v>
      </c>
      <c r="C15" t="s">
        <v>14</v>
      </c>
      <c r="D15">
        <f>HEX2DEC(Tabela1[[#This Row],[ecpriIDstr]])</f>
        <v>41120</v>
      </c>
      <c r="E15">
        <v>0</v>
      </c>
      <c r="F15">
        <v>2</v>
      </c>
      <c r="G15">
        <v>0</v>
      </c>
      <c r="H15">
        <v>13</v>
      </c>
      <c r="I15">
        <v>1</v>
      </c>
      <c r="J15">
        <v>0</v>
      </c>
      <c r="K15">
        <v>1</v>
      </c>
      <c r="L15">
        <v>1</v>
      </c>
      <c r="M15">
        <v>1</v>
      </c>
    </row>
    <row r="16" spans="1:13" x14ac:dyDescent="0.25">
      <c r="A16">
        <v>123</v>
      </c>
      <c r="B16">
        <f>HEX2DEC(Tabela1[[#This Row],[VLANStr]])</f>
        <v>291</v>
      </c>
      <c r="C16" t="s">
        <v>14</v>
      </c>
      <c r="D16">
        <f>HEX2DEC(Tabela1[[#This Row],[ecpriIDstr]])</f>
        <v>41120</v>
      </c>
      <c r="E16">
        <v>0</v>
      </c>
      <c r="F16">
        <v>2</v>
      </c>
      <c r="G16">
        <v>0</v>
      </c>
      <c r="H16">
        <v>14</v>
      </c>
      <c r="I16">
        <v>1</v>
      </c>
      <c r="J16">
        <v>0</v>
      </c>
      <c r="K16">
        <v>1</v>
      </c>
      <c r="L16">
        <v>1</v>
      </c>
      <c r="M16">
        <v>1</v>
      </c>
    </row>
    <row r="17" spans="1:13" x14ac:dyDescent="0.25">
      <c r="A17">
        <v>123</v>
      </c>
      <c r="B17">
        <f>HEX2DEC(Tabela1[[#This Row],[VLANStr]])</f>
        <v>291</v>
      </c>
      <c r="C17" t="s">
        <v>14</v>
      </c>
      <c r="D17">
        <f>HEX2DEC(Tabela1[[#This Row],[ecpriIDstr]])</f>
        <v>41120</v>
      </c>
      <c r="E17">
        <v>0</v>
      </c>
      <c r="F17">
        <v>2</v>
      </c>
      <c r="G17">
        <v>0</v>
      </c>
      <c r="H17">
        <v>15</v>
      </c>
      <c r="I17">
        <v>1</v>
      </c>
      <c r="J17">
        <v>0</v>
      </c>
      <c r="K17">
        <v>1</v>
      </c>
      <c r="L17">
        <v>1</v>
      </c>
      <c r="M17">
        <v>1</v>
      </c>
    </row>
    <row r="18" spans="1:13" x14ac:dyDescent="0.25">
      <c r="A18">
        <v>123</v>
      </c>
      <c r="B18">
        <f>HEX2DEC(Tabela1[[#This Row],[VLANStr]])</f>
        <v>291</v>
      </c>
      <c r="C18" t="s">
        <v>14</v>
      </c>
      <c r="D18">
        <f>HEX2DEC(Tabela1[[#This Row],[ecpriIDstr]])</f>
        <v>41120</v>
      </c>
      <c r="E18">
        <v>0</v>
      </c>
      <c r="F18">
        <v>2</v>
      </c>
      <c r="G18">
        <v>0</v>
      </c>
      <c r="H18">
        <v>16</v>
      </c>
      <c r="I18">
        <v>1</v>
      </c>
      <c r="J18">
        <v>0</v>
      </c>
      <c r="K18">
        <v>1</v>
      </c>
      <c r="L18">
        <v>1</v>
      </c>
      <c r="M18">
        <v>1</v>
      </c>
    </row>
    <row r="19" spans="1:13" x14ac:dyDescent="0.25">
      <c r="A19">
        <v>123</v>
      </c>
      <c r="B19">
        <f>HEX2DEC(Tabela1[[#This Row],[VLANStr]])</f>
        <v>291</v>
      </c>
      <c r="C19" t="s">
        <v>14</v>
      </c>
      <c r="D19">
        <f>HEX2DEC(Tabela1[[#This Row],[ecpriIDstr]])</f>
        <v>41120</v>
      </c>
      <c r="E19">
        <v>0</v>
      </c>
      <c r="F19">
        <v>2</v>
      </c>
      <c r="G19">
        <v>0</v>
      </c>
      <c r="H19">
        <v>17</v>
      </c>
      <c r="I19">
        <v>1</v>
      </c>
      <c r="J19">
        <v>0</v>
      </c>
      <c r="K19">
        <v>1</v>
      </c>
      <c r="L19">
        <v>1</v>
      </c>
      <c r="M19">
        <v>1</v>
      </c>
    </row>
    <row r="20" spans="1:13" x14ac:dyDescent="0.25">
      <c r="A20">
        <v>123</v>
      </c>
      <c r="B20">
        <f>HEX2DEC(Tabela1[[#This Row],[VLANStr]])</f>
        <v>291</v>
      </c>
      <c r="C20" t="s">
        <v>14</v>
      </c>
      <c r="D20">
        <f>HEX2DEC(Tabela1[[#This Row],[ecpriIDstr]])</f>
        <v>41120</v>
      </c>
      <c r="E20">
        <v>0</v>
      </c>
      <c r="F20">
        <v>2</v>
      </c>
      <c r="G20">
        <v>0</v>
      </c>
      <c r="H20">
        <v>18</v>
      </c>
      <c r="I20">
        <v>1</v>
      </c>
      <c r="J20">
        <v>0</v>
      </c>
      <c r="K20">
        <v>1</v>
      </c>
      <c r="L20">
        <v>1</v>
      </c>
      <c r="M20">
        <v>1</v>
      </c>
    </row>
    <row r="21" spans="1:13" x14ac:dyDescent="0.25">
      <c r="A21">
        <v>123</v>
      </c>
      <c r="B21">
        <f>HEX2DEC(Tabela1[[#This Row],[VLANStr]])</f>
        <v>291</v>
      </c>
      <c r="C21" t="s">
        <v>14</v>
      </c>
      <c r="D21">
        <f>HEX2DEC(Tabela1[[#This Row],[ecpriIDstr]])</f>
        <v>41120</v>
      </c>
      <c r="E21">
        <v>0</v>
      </c>
      <c r="F21">
        <v>2</v>
      </c>
      <c r="G21">
        <v>0</v>
      </c>
      <c r="H21">
        <v>19</v>
      </c>
      <c r="I21">
        <v>1</v>
      </c>
      <c r="J21">
        <v>0</v>
      </c>
      <c r="K21">
        <v>1</v>
      </c>
      <c r="L21">
        <v>1</v>
      </c>
      <c r="M21">
        <v>1</v>
      </c>
    </row>
    <row r="22" spans="1:13" x14ac:dyDescent="0.25">
      <c r="A22">
        <v>123</v>
      </c>
      <c r="B22">
        <f>HEX2DEC(Tabela1[[#This Row],[VLANStr]])</f>
        <v>291</v>
      </c>
      <c r="C22" t="s">
        <v>14</v>
      </c>
      <c r="D22">
        <f>HEX2DEC(Tabela1[[#This Row],[ecpriIDstr]])</f>
        <v>41120</v>
      </c>
      <c r="E22">
        <v>0</v>
      </c>
      <c r="F22">
        <v>2</v>
      </c>
      <c r="G22">
        <v>0</v>
      </c>
      <c r="H22">
        <v>20</v>
      </c>
      <c r="I22">
        <v>1</v>
      </c>
      <c r="J22">
        <v>0</v>
      </c>
      <c r="K22">
        <v>1</v>
      </c>
      <c r="L22">
        <v>1</v>
      </c>
      <c r="M22">
        <v>1</v>
      </c>
    </row>
    <row r="23" spans="1:13" x14ac:dyDescent="0.25">
      <c r="A23">
        <v>123</v>
      </c>
      <c r="B23">
        <f>HEX2DEC(Tabela1[[#This Row],[VLANStr]])</f>
        <v>291</v>
      </c>
      <c r="C23" t="s">
        <v>14</v>
      </c>
      <c r="D23">
        <f>HEX2DEC(Tabela1[[#This Row],[ecpriIDstr]])</f>
        <v>41120</v>
      </c>
      <c r="E23">
        <v>0</v>
      </c>
      <c r="F23">
        <v>2</v>
      </c>
      <c r="G23">
        <v>0</v>
      </c>
      <c r="H23">
        <v>21</v>
      </c>
      <c r="I23">
        <v>1</v>
      </c>
      <c r="J23">
        <v>0</v>
      </c>
      <c r="K23">
        <v>1</v>
      </c>
      <c r="L23">
        <v>1</v>
      </c>
      <c r="M23">
        <v>1</v>
      </c>
    </row>
    <row r="24" spans="1:13" x14ac:dyDescent="0.25">
      <c r="A24">
        <v>123</v>
      </c>
      <c r="B24">
        <f>HEX2DEC(Tabela1[[#This Row],[VLANStr]])</f>
        <v>291</v>
      </c>
      <c r="C24" t="s">
        <v>14</v>
      </c>
      <c r="D24">
        <f>HEX2DEC(Tabela1[[#This Row],[ecpriIDstr]])</f>
        <v>41120</v>
      </c>
      <c r="E24">
        <v>0</v>
      </c>
      <c r="F24">
        <v>2</v>
      </c>
      <c r="G24">
        <v>0</v>
      </c>
      <c r="H24">
        <v>22</v>
      </c>
      <c r="I24">
        <v>1</v>
      </c>
      <c r="J24">
        <v>0</v>
      </c>
      <c r="K24">
        <v>1</v>
      </c>
      <c r="L24">
        <v>1</v>
      </c>
      <c r="M24">
        <v>1</v>
      </c>
    </row>
    <row r="25" spans="1:13" x14ac:dyDescent="0.25">
      <c r="A25">
        <v>123</v>
      </c>
      <c r="B25">
        <f>HEX2DEC(Tabela1[[#This Row],[VLANStr]])</f>
        <v>291</v>
      </c>
      <c r="C25" t="s">
        <v>14</v>
      </c>
      <c r="D25">
        <f>HEX2DEC(Tabela1[[#This Row],[ecpriIDstr]])</f>
        <v>41120</v>
      </c>
      <c r="E25">
        <v>0</v>
      </c>
      <c r="F25">
        <v>2</v>
      </c>
      <c r="G25">
        <v>0</v>
      </c>
      <c r="H25">
        <v>23</v>
      </c>
      <c r="I25">
        <v>1</v>
      </c>
      <c r="J25">
        <v>0</v>
      </c>
      <c r="K25">
        <v>1</v>
      </c>
      <c r="L25">
        <v>1</v>
      </c>
      <c r="M25">
        <v>1</v>
      </c>
    </row>
    <row r="26" spans="1:13" x14ac:dyDescent="0.25">
      <c r="A26">
        <v>123</v>
      </c>
      <c r="B26">
        <f>HEX2DEC(Tabela1[[#This Row],[VLANStr]])</f>
        <v>291</v>
      </c>
      <c r="C26" t="s">
        <v>14</v>
      </c>
      <c r="D26">
        <f>HEX2DEC(Tabela1[[#This Row],[ecpriIDstr]])</f>
        <v>41120</v>
      </c>
      <c r="E26">
        <v>0</v>
      </c>
      <c r="F26">
        <v>2</v>
      </c>
      <c r="G26">
        <v>0</v>
      </c>
      <c r="H26">
        <v>24</v>
      </c>
      <c r="I26">
        <v>1</v>
      </c>
      <c r="J26">
        <v>0</v>
      </c>
      <c r="K26">
        <v>1</v>
      </c>
      <c r="L26">
        <v>1</v>
      </c>
      <c r="M26">
        <v>1</v>
      </c>
    </row>
    <row r="27" spans="1:13" x14ac:dyDescent="0.25">
      <c r="A27">
        <v>123</v>
      </c>
      <c r="B27">
        <f>HEX2DEC(Tabela1[[#This Row],[VLANStr]])</f>
        <v>291</v>
      </c>
      <c r="C27" t="s">
        <v>14</v>
      </c>
      <c r="D27">
        <f>HEX2DEC(Tabela1[[#This Row],[ecpriIDstr]])</f>
        <v>41120</v>
      </c>
      <c r="E27">
        <v>0</v>
      </c>
      <c r="F27">
        <v>2</v>
      </c>
      <c r="G27">
        <v>0</v>
      </c>
      <c r="H27">
        <v>25</v>
      </c>
      <c r="I27">
        <v>1</v>
      </c>
      <c r="J27">
        <v>0</v>
      </c>
      <c r="K27">
        <v>1</v>
      </c>
      <c r="L27">
        <v>1</v>
      </c>
      <c r="M27">
        <v>1</v>
      </c>
    </row>
    <row r="28" spans="1:13" x14ac:dyDescent="0.25">
      <c r="A28">
        <v>123</v>
      </c>
      <c r="B28">
        <f>HEX2DEC(Tabela1[[#This Row],[VLANStr]])</f>
        <v>291</v>
      </c>
      <c r="C28" t="s">
        <v>14</v>
      </c>
      <c r="D28">
        <f>HEX2DEC(Tabela1[[#This Row],[ecpriIDstr]])</f>
        <v>41120</v>
      </c>
      <c r="E28">
        <v>0</v>
      </c>
      <c r="F28">
        <v>2</v>
      </c>
      <c r="G28">
        <v>0</v>
      </c>
      <c r="H28">
        <v>26</v>
      </c>
      <c r="I28">
        <v>1</v>
      </c>
      <c r="J28">
        <v>0</v>
      </c>
      <c r="K28">
        <v>1</v>
      </c>
      <c r="L28">
        <v>1</v>
      </c>
      <c r="M28">
        <v>1</v>
      </c>
    </row>
    <row r="29" spans="1:13" x14ac:dyDescent="0.25">
      <c r="A29">
        <v>123</v>
      </c>
      <c r="B29">
        <f>HEX2DEC(Tabela1[[#This Row],[VLANStr]])</f>
        <v>291</v>
      </c>
      <c r="C29" t="s">
        <v>14</v>
      </c>
      <c r="D29">
        <f>HEX2DEC(Tabela1[[#This Row],[ecpriIDstr]])</f>
        <v>41120</v>
      </c>
      <c r="E29">
        <v>0</v>
      </c>
      <c r="F29">
        <v>2</v>
      </c>
      <c r="G29">
        <v>0</v>
      </c>
      <c r="H29">
        <v>27</v>
      </c>
      <c r="I29">
        <v>1</v>
      </c>
      <c r="J29">
        <v>0</v>
      </c>
      <c r="K29">
        <v>1</v>
      </c>
      <c r="L29">
        <v>1</v>
      </c>
      <c r="M29">
        <v>1</v>
      </c>
    </row>
    <row r="30" spans="1:13" x14ac:dyDescent="0.25">
      <c r="A30">
        <v>123</v>
      </c>
      <c r="B30">
        <f>HEX2DEC(Tabela1[[#This Row],[VLANStr]])</f>
        <v>291</v>
      </c>
      <c r="C30" t="s">
        <v>14</v>
      </c>
      <c r="D30">
        <f>HEX2DEC(Tabela1[[#This Row],[ecpriIDstr]])</f>
        <v>41120</v>
      </c>
      <c r="E30">
        <v>0</v>
      </c>
      <c r="F30">
        <v>2</v>
      </c>
      <c r="G30">
        <v>0</v>
      </c>
      <c r="H30">
        <v>28</v>
      </c>
      <c r="I30">
        <v>1</v>
      </c>
      <c r="J30">
        <v>0</v>
      </c>
      <c r="K30">
        <v>1</v>
      </c>
      <c r="L30">
        <v>1</v>
      </c>
      <c r="M30">
        <v>1</v>
      </c>
    </row>
    <row r="31" spans="1:13" x14ac:dyDescent="0.25">
      <c r="A31">
        <v>123</v>
      </c>
      <c r="B31">
        <f>HEX2DEC(Tabela1[[#This Row],[VLANStr]])</f>
        <v>291</v>
      </c>
      <c r="C31" t="s">
        <v>14</v>
      </c>
      <c r="D31">
        <f>HEX2DEC(Tabela1[[#This Row],[ecpriIDstr]])</f>
        <v>41120</v>
      </c>
      <c r="E31">
        <v>0</v>
      </c>
      <c r="F31">
        <v>2</v>
      </c>
      <c r="G31">
        <v>0</v>
      </c>
      <c r="H31">
        <v>29</v>
      </c>
      <c r="I31">
        <v>1</v>
      </c>
      <c r="J31">
        <v>0</v>
      </c>
      <c r="K31">
        <v>1</v>
      </c>
      <c r="L31">
        <v>1</v>
      </c>
      <c r="M31">
        <v>1</v>
      </c>
    </row>
    <row r="32" spans="1:13" x14ac:dyDescent="0.25">
      <c r="A32">
        <v>123</v>
      </c>
      <c r="B32">
        <f>HEX2DEC(Tabela1[[#This Row],[VLANStr]])</f>
        <v>291</v>
      </c>
      <c r="C32" t="s">
        <v>14</v>
      </c>
      <c r="D32">
        <f>HEX2DEC(Tabela1[[#This Row],[ecpriIDstr]])</f>
        <v>41120</v>
      </c>
      <c r="E32">
        <v>0</v>
      </c>
      <c r="F32">
        <v>2</v>
      </c>
      <c r="G32">
        <v>0</v>
      </c>
      <c r="H32">
        <v>30</v>
      </c>
      <c r="I32">
        <v>1</v>
      </c>
      <c r="J32">
        <v>0</v>
      </c>
      <c r="K32">
        <v>1</v>
      </c>
      <c r="L32">
        <v>1</v>
      </c>
      <c r="M32">
        <v>1</v>
      </c>
    </row>
    <row r="33" spans="1:13" x14ac:dyDescent="0.25">
      <c r="A33">
        <v>123</v>
      </c>
      <c r="B33">
        <f>HEX2DEC(Tabela1[[#This Row],[VLANStr]])</f>
        <v>291</v>
      </c>
      <c r="C33" t="s">
        <v>14</v>
      </c>
      <c r="D33">
        <f>HEX2DEC(Tabela1[[#This Row],[ecpriIDstr]])</f>
        <v>41120</v>
      </c>
      <c r="E33">
        <v>0</v>
      </c>
      <c r="F33">
        <v>2</v>
      </c>
      <c r="G33">
        <v>0</v>
      </c>
      <c r="H33">
        <v>31</v>
      </c>
      <c r="I33">
        <v>1</v>
      </c>
      <c r="J33">
        <v>0</v>
      </c>
      <c r="K33">
        <v>1</v>
      </c>
      <c r="L33">
        <v>1</v>
      </c>
      <c r="M33">
        <v>1</v>
      </c>
    </row>
    <row r="34" spans="1:13" x14ac:dyDescent="0.25">
      <c r="A34">
        <v>123</v>
      </c>
      <c r="B34">
        <f>HEX2DEC(Tabela1[[#This Row],[VLANStr]])</f>
        <v>291</v>
      </c>
      <c r="C34" t="s">
        <v>14</v>
      </c>
      <c r="D34">
        <f>HEX2DEC(Tabela1[[#This Row],[ecpriIDstr]])</f>
        <v>41120</v>
      </c>
      <c r="E34">
        <v>0</v>
      </c>
      <c r="F34">
        <v>2</v>
      </c>
      <c r="G34">
        <v>0</v>
      </c>
      <c r="H34">
        <v>32</v>
      </c>
      <c r="I34">
        <v>1</v>
      </c>
      <c r="J34">
        <v>0</v>
      </c>
      <c r="K34">
        <v>1</v>
      </c>
      <c r="L34">
        <v>1</v>
      </c>
      <c r="M34">
        <v>1</v>
      </c>
    </row>
    <row r="35" spans="1:13" x14ac:dyDescent="0.25">
      <c r="A35">
        <v>123</v>
      </c>
      <c r="B35">
        <f>HEX2DEC(Tabela1[[#This Row],[VLANStr]])</f>
        <v>291</v>
      </c>
      <c r="C35" t="s">
        <v>14</v>
      </c>
      <c r="D35">
        <f>HEX2DEC(Tabela1[[#This Row],[ecpriIDstr]])</f>
        <v>41120</v>
      </c>
      <c r="E35">
        <v>0</v>
      </c>
      <c r="F35">
        <v>2</v>
      </c>
      <c r="G35">
        <v>0</v>
      </c>
      <c r="H35">
        <v>33</v>
      </c>
      <c r="I35">
        <v>1</v>
      </c>
      <c r="J35">
        <v>0</v>
      </c>
      <c r="K35">
        <v>1</v>
      </c>
      <c r="L35">
        <v>1</v>
      </c>
      <c r="M35">
        <v>1</v>
      </c>
    </row>
    <row r="36" spans="1:13" x14ac:dyDescent="0.25">
      <c r="A36">
        <v>123</v>
      </c>
      <c r="B36">
        <f>HEX2DEC(Tabela1[[#This Row],[VLANStr]])</f>
        <v>291</v>
      </c>
      <c r="C36" t="s">
        <v>14</v>
      </c>
      <c r="D36">
        <f>HEX2DEC(Tabela1[[#This Row],[ecpriIDstr]])</f>
        <v>41120</v>
      </c>
      <c r="E36">
        <v>0</v>
      </c>
      <c r="F36">
        <v>2</v>
      </c>
      <c r="G36">
        <v>0</v>
      </c>
      <c r="H36">
        <v>34</v>
      </c>
      <c r="I36">
        <v>1</v>
      </c>
      <c r="J36">
        <v>0</v>
      </c>
      <c r="K36">
        <v>1</v>
      </c>
      <c r="L36">
        <v>1</v>
      </c>
      <c r="M36">
        <v>1</v>
      </c>
    </row>
    <row r="37" spans="1:13" x14ac:dyDescent="0.25">
      <c r="A37">
        <v>123</v>
      </c>
      <c r="B37">
        <f>HEX2DEC(Tabela1[[#This Row],[VLANStr]])</f>
        <v>291</v>
      </c>
      <c r="C37" t="s">
        <v>14</v>
      </c>
      <c r="D37">
        <f>HEX2DEC(Tabela1[[#This Row],[ecpriIDstr]])</f>
        <v>41120</v>
      </c>
      <c r="E37">
        <v>0</v>
      </c>
      <c r="F37">
        <v>2</v>
      </c>
      <c r="G37">
        <v>0</v>
      </c>
      <c r="H37">
        <v>35</v>
      </c>
      <c r="I37">
        <v>1</v>
      </c>
      <c r="J37">
        <v>0</v>
      </c>
      <c r="K37">
        <v>1</v>
      </c>
      <c r="L37">
        <v>1</v>
      </c>
      <c r="M37">
        <v>1</v>
      </c>
    </row>
    <row r="38" spans="1:13" x14ac:dyDescent="0.25">
      <c r="A38">
        <v>123</v>
      </c>
      <c r="B38">
        <f>HEX2DEC(Tabela1[[#This Row],[VLANStr]])</f>
        <v>291</v>
      </c>
      <c r="C38" t="s">
        <v>14</v>
      </c>
      <c r="D38">
        <f>HEX2DEC(Tabela1[[#This Row],[ecpriIDstr]])</f>
        <v>41120</v>
      </c>
      <c r="E38">
        <v>0</v>
      </c>
      <c r="F38">
        <v>2</v>
      </c>
      <c r="G38">
        <v>0</v>
      </c>
      <c r="H38">
        <v>36</v>
      </c>
      <c r="I38">
        <v>1</v>
      </c>
      <c r="J38">
        <v>0</v>
      </c>
      <c r="K38">
        <v>1</v>
      </c>
      <c r="L38">
        <v>1</v>
      </c>
      <c r="M38">
        <v>1</v>
      </c>
    </row>
    <row r="39" spans="1:13" x14ac:dyDescent="0.25">
      <c r="A39">
        <v>123</v>
      </c>
      <c r="B39">
        <f>HEX2DEC(Tabela1[[#This Row],[VLANStr]])</f>
        <v>291</v>
      </c>
      <c r="C39" t="s">
        <v>14</v>
      </c>
      <c r="D39">
        <f>HEX2DEC(Tabela1[[#This Row],[ecpriIDstr]])</f>
        <v>41120</v>
      </c>
      <c r="E39">
        <v>0</v>
      </c>
      <c r="F39">
        <v>2</v>
      </c>
      <c r="G39">
        <v>0</v>
      </c>
      <c r="H39">
        <v>37</v>
      </c>
      <c r="I39">
        <v>1</v>
      </c>
      <c r="J39">
        <v>0</v>
      </c>
      <c r="K39">
        <v>1</v>
      </c>
      <c r="L39">
        <v>1</v>
      </c>
      <c r="M39">
        <v>1</v>
      </c>
    </row>
    <row r="40" spans="1:13" x14ac:dyDescent="0.25">
      <c r="A40">
        <v>123</v>
      </c>
      <c r="B40">
        <f>HEX2DEC(Tabela1[[#This Row],[VLANStr]])</f>
        <v>291</v>
      </c>
      <c r="C40" t="s">
        <v>14</v>
      </c>
      <c r="D40">
        <f>HEX2DEC(Tabela1[[#This Row],[ecpriIDstr]])</f>
        <v>41120</v>
      </c>
      <c r="E40">
        <v>0</v>
      </c>
      <c r="F40">
        <v>2</v>
      </c>
      <c r="G40">
        <v>0</v>
      </c>
      <c r="H40">
        <v>38</v>
      </c>
      <c r="I40">
        <v>1</v>
      </c>
      <c r="J40">
        <v>0</v>
      </c>
      <c r="K40">
        <v>1</v>
      </c>
      <c r="L40">
        <v>1</v>
      </c>
      <c r="M40">
        <v>1</v>
      </c>
    </row>
    <row r="41" spans="1:13" x14ac:dyDescent="0.25">
      <c r="A41">
        <v>123</v>
      </c>
      <c r="B41">
        <f>HEX2DEC(Tabela1[[#This Row],[VLANStr]])</f>
        <v>291</v>
      </c>
      <c r="C41" t="s">
        <v>14</v>
      </c>
      <c r="D41">
        <f>HEX2DEC(Tabela1[[#This Row],[ecpriIDstr]])</f>
        <v>41120</v>
      </c>
      <c r="E41">
        <v>0</v>
      </c>
      <c r="F41">
        <v>2</v>
      </c>
      <c r="G41">
        <v>0</v>
      </c>
      <c r="H41">
        <v>39</v>
      </c>
      <c r="I41">
        <v>1</v>
      </c>
      <c r="J41">
        <v>0</v>
      </c>
      <c r="K41">
        <v>1</v>
      </c>
      <c r="L41">
        <v>1</v>
      </c>
      <c r="M41">
        <v>1</v>
      </c>
    </row>
    <row r="42" spans="1:13" x14ac:dyDescent="0.25">
      <c r="A42">
        <v>123</v>
      </c>
      <c r="B42">
        <f>HEX2DEC(Tabela1[[#This Row],[VLANStr]])</f>
        <v>291</v>
      </c>
      <c r="C42" t="s">
        <v>14</v>
      </c>
      <c r="D42">
        <f>HEX2DEC(Tabela1[[#This Row],[ecpriIDstr]])</f>
        <v>41120</v>
      </c>
      <c r="E42">
        <v>0</v>
      </c>
      <c r="F42">
        <v>2</v>
      </c>
      <c r="G42">
        <v>0</v>
      </c>
      <c r="H42">
        <v>40</v>
      </c>
      <c r="I42">
        <v>1</v>
      </c>
      <c r="J42">
        <v>0</v>
      </c>
      <c r="K42">
        <v>1</v>
      </c>
      <c r="L42">
        <v>1</v>
      </c>
      <c r="M42">
        <v>1</v>
      </c>
    </row>
    <row r="43" spans="1:13" x14ac:dyDescent="0.25">
      <c r="A43">
        <v>123</v>
      </c>
      <c r="B43">
        <f>HEX2DEC(Tabela1[[#This Row],[VLANStr]])</f>
        <v>291</v>
      </c>
      <c r="C43" t="s">
        <v>14</v>
      </c>
      <c r="D43">
        <f>HEX2DEC(Tabela1[[#This Row],[ecpriIDstr]])</f>
        <v>41120</v>
      </c>
      <c r="E43">
        <v>0</v>
      </c>
      <c r="F43">
        <v>2</v>
      </c>
      <c r="G43">
        <v>0</v>
      </c>
      <c r="H43">
        <v>41</v>
      </c>
      <c r="I43">
        <v>1</v>
      </c>
      <c r="J43">
        <v>0</v>
      </c>
      <c r="K43">
        <v>1</v>
      </c>
      <c r="L43">
        <v>1</v>
      </c>
      <c r="M43">
        <v>1</v>
      </c>
    </row>
    <row r="44" spans="1:13" x14ac:dyDescent="0.25">
      <c r="A44">
        <v>123</v>
      </c>
      <c r="B44">
        <f>HEX2DEC(Tabela1[[#This Row],[VLANStr]])</f>
        <v>291</v>
      </c>
      <c r="C44" t="s">
        <v>14</v>
      </c>
      <c r="D44">
        <f>HEX2DEC(Tabela1[[#This Row],[ecpriIDstr]])</f>
        <v>41120</v>
      </c>
      <c r="E44">
        <v>0</v>
      </c>
      <c r="F44">
        <v>2</v>
      </c>
      <c r="G44">
        <v>0</v>
      </c>
      <c r="H44">
        <v>42</v>
      </c>
      <c r="I44">
        <v>1</v>
      </c>
      <c r="J44">
        <v>0</v>
      </c>
      <c r="K44">
        <v>1</v>
      </c>
      <c r="L44">
        <v>1</v>
      </c>
      <c r="M44">
        <v>1</v>
      </c>
    </row>
    <row r="45" spans="1:13" x14ac:dyDescent="0.25">
      <c r="A45">
        <v>123</v>
      </c>
      <c r="B45">
        <f>HEX2DEC(Tabela1[[#This Row],[VLANStr]])</f>
        <v>291</v>
      </c>
      <c r="C45" t="s">
        <v>14</v>
      </c>
      <c r="D45">
        <f>HEX2DEC(Tabela1[[#This Row],[ecpriIDstr]])</f>
        <v>41120</v>
      </c>
      <c r="E45">
        <v>0</v>
      </c>
      <c r="F45">
        <v>2</v>
      </c>
      <c r="G45">
        <v>0</v>
      </c>
      <c r="H45">
        <v>43</v>
      </c>
      <c r="I45">
        <v>1</v>
      </c>
      <c r="J45">
        <v>0</v>
      </c>
      <c r="K45">
        <v>1</v>
      </c>
      <c r="L45">
        <v>1</v>
      </c>
      <c r="M45">
        <v>1</v>
      </c>
    </row>
    <row r="46" spans="1:13" x14ac:dyDescent="0.25">
      <c r="A46">
        <v>123</v>
      </c>
      <c r="B46">
        <f>HEX2DEC(Tabela1[[#This Row],[VLANStr]])</f>
        <v>291</v>
      </c>
      <c r="C46" t="s">
        <v>14</v>
      </c>
      <c r="D46">
        <f>HEX2DEC(Tabela1[[#This Row],[ecpriIDstr]])</f>
        <v>41120</v>
      </c>
      <c r="E46">
        <v>0</v>
      </c>
      <c r="F46">
        <v>2</v>
      </c>
      <c r="G46">
        <v>0</v>
      </c>
      <c r="H46">
        <v>44</v>
      </c>
      <c r="I46">
        <v>1</v>
      </c>
      <c r="J46">
        <v>0</v>
      </c>
      <c r="K46">
        <v>1</v>
      </c>
      <c r="L46">
        <v>1</v>
      </c>
      <c r="M46">
        <v>1</v>
      </c>
    </row>
    <row r="47" spans="1:13" x14ac:dyDescent="0.25">
      <c r="A47">
        <v>123</v>
      </c>
      <c r="B47">
        <f>HEX2DEC(Tabela1[[#This Row],[VLANStr]])</f>
        <v>291</v>
      </c>
      <c r="C47" t="s">
        <v>14</v>
      </c>
      <c r="D47">
        <f>HEX2DEC(Tabela1[[#This Row],[ecpriIDstr]])</f>
        <v>41120</v>
      </c>
      <c r="E47">
        <v>0</v>
      </c>
      <c r="F47">
        <v>2</v>
      </c>
      <c r="G47">
        <v>0</v>
      </c>
      <c r="H47">
        <v>45</v>
      </c>
      <c r="I47">
        <v>1</v>
      </c>
      <c r="J47">
        <v>0</v>
      </c>
      <c r="K47">
        <v>1</v>
      </c>
      <c r="L47">
        <v>1</v>
      </c>
      <c r="M47">
        <v>1</v>
      </c>
    </row>
    <row r="48" spans="1:13" x14ac:dyDescent="0.25">
      <c r="A48">
        <v>123</v>
      </c>
      <c r="B48">
        <f>HEX2DEC(Tabela1[[#This Row],[VLANStr]])</f>
        <v>291</v>
      </c>
      <c r="C48" t="s">
        <v>14</v>
      </c>
      <c r="D48">
        <f>HEX2DEC(Tabela1[[#This Row],[ecpriIDstr]])</f>
        <v>41120</v>
      </c>
      <c r="E48">
        <v>0</v>
      </c>
      <c r="F48">
        <v>2</v>
      </c>
      <c r="G48">
        <v>0</v>
      </c>
      <c r="H48">
        <v>46</v>
      </c>
      <c r="I48">
        <v>1</v>
      </c>
      <c r="J48">
        <v>0</v>
      </c>
      <c r="K48">
        <v>1</v>
      </c>
      <c r="L48">
        <v>1</v>
      </c>
      <c r="M48">
        <v>1</v>
      </c>
    </row>
    <row r="49" spans="1:13" x14ac:dyDescent="0.25">
      <c r="A49">
        <v>123</v>
      </c>
      <c r="B49">
        <f>HEX2DEC(Tabela1[[#This Row],[VLANStr]])</f>
        <v>291</v>
      </c>
      <c r="C49" t="s">
        <v>14</v>
      </c>
      <c r="D49">
        <f>HEX2DEC(Tabela1[[#This Row],[ecpriIDstr]])</f>
        <v>41120</v>
      </c>
      <c r="E49">
        <v>0</v>
      </c>
      <c r="F49">
        <v>2</v>
      </c>
      <c r="G49">
        <v>0</v>
      </c>
      <c r="H49">
        <v>47</v>
      </c>
      <c r="I49">
        <v>1</v>
      </c>
      <c r="J49">
        <v>0</v>
      </c>
      <c r="K49">
        <v>1</v>
      </c>
      <c r="L49">
        <v>1</v>
      </c>
      <c r="M49">
        <v>1</v>
      </c>
    </row>
    <row r="50" spans="1:13" x14ac:dyDescent="0.25">
      <c r="A50">
        <v>123</v>
      </c>
      <c r="B50">
        <f>HEX2DEC(Tabela1[[#This Row],[VLANStr]])</f>
        <v>291</v>
      </c>
      <c r="C50" t="s">
        <v>14</v>
      </c>
      <c r="D50">
        <f>HEX2DEC(Tabela1[[#This Row],[ecpriIDstr]])</f>
        <v>41120</v>
      </c>
      <c r="E50">
        <v>0</v>
      </c>
      <c r="F50">
        <v>2</v>
      </c>
      <c r="G50">
        <v>0</v>
      </c>
      <c r="H50">
        <v>48</v>
      </c>
      <c r="I50">
        <v>1</v>
      </c>
      <c r="J50">
        <v>0</v>
      </c>
      <c r="K50">
        <v>1</v>
      </c>
      <c r="L50">
        <v>1</v>
      </c>
      <c r="M50">
        <v>1</v>
      </c>
    </row>
    <row r="51" spans="1:13" x14ac:dyDescent="0.25">
      <c r="A51">
        <v>123</v>
      </c>
      <c r="B51">
        <f>HEX2DEC(Tabela1[[#This Row],[VLANStr]])</f>
        <v>291</v>
      </c>
      <c r="C51" t="s">
        <v>14</v>
      </c>
      <c r="D51">
        <f>HEX2DEC(Tabela1[[#This Row],[ecpriIDstr]])</f>
        <v>41120</v>
      </c>
      <c r="E51">
        <v>0</v>
      </c>
      <c r="F51">
        <v>2</v>
      </c>
      <c r="G51">
        <v>0</v>
      </c>
      <c r="H51">
        <v>49</v>
      </c>
      <c r="I51">
        <v>1</v>
      </c>
      <c r="J51">
        <v>0</v>
      </c>
      <c r="K51">
        <v>1</v>
      </c>
      <c r="L51">
        <v>1</v>
      </c>
      <c r="M51">
        <v>1</v>
      </c>
    </row>
    <row r="52" spans="1:13" x14ac:dyDescent="0.25">
      <c r="A52">
        <v>123</v>
      </c>
      <c r="B52">
        <f>HEX2DEC(Tabela1[[#This Row],[VLANStr]])</f>
        <v>291</v>
      </c>
      <c r="C52" t="s">
        <v>14</v>
      </c>
      <c r="D52">
        <f>HEX2DEC(Tabela1[[#This Row],[ecpriIDstr]])</f>
        <v>41120</v>
      </c>
      <c r="E52">
        <v>0</v>
      </c>
      <c r="F52">
        <v>2</v>
      </c>
      <c r="G52">
        <v>0</v>
      </c>
      <c r="H52">
        <v>50</v>
      </c>
      <c r="I52">
        <v>1</v>
      </c>
      <c r="J52">
        <v>0</v>
      </c>
      <c r="K52">
        <v>1</v>
      </c>
      <c r="L52">
        <v>1</v>
      </c>
      <c r="M52">
        <v>1</v>
      </c>
    </row>
    <row r="53" spans="1:13" x14ac:dyDescent="0.25">
      <c r="A53">
        <v>123</v>
      </c>
      <c r="B53">
        <f>HEX2DEC(Tabela1[[#This Row],[VLANStr]])</f>
        <v>291</v>
      </c>
      <c r="C53" t="s">
        <v>14</v>
      </c>
      <c r="D53">
        <f>HEX2DEC(Tabela1[[#This Row],[ecpriIDstr]])</f>
        <v>41120</v>
      </c>
      <c r="E53">
        <v>0</v>
      </c>
      <c r="F53">
        <v>2</v>
      </c>
      <c r="G53">
        <v>0</v>
      </c>
      <c r="H53">
        <v>51</v>
      </c>
      <c r="I53">
        <v>1</v>
      </c>
      <c r="J53">
        <v>0</v>
      </c>
      <c r="K53">
        <v>1</v>
      </c>
      <c r="L53">
        <v>1</v>
      </c>
      <c r="M53">
        <v>1</v>
      </c>
    </row>
    <row r="54" spans="1:13" x14ac:dyDescent="0.25">
      <c r="A54">
        <v>123</v>
      </c>
      <c r="B54">
        <f>HEX2DEC(Tabela1[[#This Row],[VLANStr]])</f>
        <v>291</v>
      </c>
      <c r="C54" t="s">
        <v>14</v>
      </c>
      <c r="D54">
        <f>HEX2DEC(Tabela1[[#This Row],[ecpriIDstr]])</f>
        <v>41120</v>
      </c>
      <c r="E54">
        <v>0</v>
      </c>
      <c r="F54">
        <v>2</v>
      </c>
      <c r="G54">
        <v>0</v>
      </c>
      <c r="H54">
        <v>52</v>
      </c>
      <c r="I54">
        <v>1</v>
      </c>
      <c r="J54">
        <v>0</v>
      </c>
      <c r="K54">
        <v>1</v>
      </c>
      <c r="L54">
        <v>1</v>
      </c>
      <c r="M54">
        <v>1</v>
      </c>
    </row>
    <row r="55" spans="1:13" x14ac:dyDescent="0.25">
      <c r="A55">
        <v>123</v>
      </c>
      <c r="B55">
        <f>HEX2DEC(Tabela1[[#This Row],[VLANStr]])</f>
        <v>291</v>
      </c>
      <c r="C55" t="s">
        <v>14</v>
      </c>
      <c r="D55">
        <f>HEX2DEC(Tabela1[[#This Row],[ecpriIDstr]])</f>
        <v>41120</v>
      </c>
      <c r="E55">
        <v>0</v>
      </c>
      <c r="F55">
        <v>2</v>
      </c>
      <c r="G55">
        <v>0</v>
      </c>
      <c r="H55">
        <v>53</v>
      </c>
      <c r="I55">
        <v>1</v>
      </c>
      <c r="J55">
        <v>0</v>
      </c>
      <c r="K55">
        <v>1</v>
      </c>
      <c r="L55">
        <v>1</v>
      </c>
      <c r="M55">
        <v>1</v>
      </c>
    </row>
    <row r="56" spans="1:13" x14ac:dyDescent="0.25">
      <c r="A56">
        <v>123</v>
      </c>
      <c r="B56">
        <f>HEX2DEC(Tabela1[[#This Row],[VLANStr]])</f>
        <v>291</v>
      </c>
      <c r="C56" t="s">
        <v>14</v>
      </c>
      <c r="D56">
        <f>HEX2DEC(Tabela1[[#This Row],[ecpriIDstr]])</f>
        <v>41120</v>
      </c>
      <c r="E56">
        <v>0</v>
      </c>
      <c r="F56">
        <v>2</v>
      </c>
      <c r="G56">
        <v>0</v>
      </c>
      <c r="H56">
        <v>54</v>
      </c>
      <c r="I56">
        <v>1</v>
      </c>
      <c r="J56">
        <v>0</v>
      </c>
      <c r="K56">
        <v>1</v>
      </c>
      <c r="L56">
        <v>1</v>
      </c>
      <c r="M56">
        <v>1</v>
      </c>
    </row>
    <row r="57" spans="1:13" x14ac:dyDescent="0.25">
      <c r="A57">
        <v>123</v>
      </c>
      <c r="B57">
        <f>HEX2DEC(Tabela1[[#This Row],[VLANStr]])</f>
        <v>291</v>
      </c>
      <c r="C57" t="s">
        <v>14</v>
      </c>
      <c r="D57">
        <f>HEX2DEC(Tabela1[[#This Row],[ecpriIDstr]])</f>
        <v>41120</v>
      </c>
      <c r="E57">
        <v>0</v>
      </c>
      <c r="F57">
        <v>2</v>
      </c>
      <c r="G57">
        <v>0</v>
      </c>
      <c r="H57">
        <v>55</v>
      </c>
      <c r="I57">
        <v>1</v>
      </c>
      <c r="J57">
        <v>0</v>
      </c>
      <c r="K57">
        <v>1</v>
      </c>
      <c r="L57">
        <v>1</v>
      </c>
      <c r="M57">
        <v>1</v>
      </c>
    </row>
    <row r="58" spans="1:13" x14ac:dyDescent="0.25">
      <c r="A58">
        <v>123</v>
      </c>
      <c r="B58">
        <f>HEX2DEC(Tabela1[[#This Row],[VLANStr]])</f>
        <v>291</v>
      </c>
      <c r="C58" t="s">
        <v>14</v>
      </c>
      <c r="D58">
        <f>HEX2DEC(Tabela1[[#This Row],[ecpriIDstr]])</f>
        <v>41120</v>
      </c>
      <c r="E58">
        <v>0</v>
      </c>
      <c r="F58">
        <v>2</v>
      </c>
      <c r="G58">
        <v>0</v>
      </c>
      <c r="H58">
        <v>56</v>
      </c>
      <c r="I58">
        <v>1</v>
      </c>
      <c r="J58">
        <v>0</v>
      </c>
      <c r="K58">
        <v>1</v>
      </c>
      <c r="L58">
        <v>1</v>
      </c>
      <c r="M58">
        <v>1</v>
      </c>
    </row>
    <row r="59" spans="1:13" x14ac:dyDescent="0.25">
      <c r="A59">
        <v>123</v>
      </c>
      <c r="B59">
        <f>HEX2DEC(Tabela1[[#This Row],[VLANStr]])</f>
        <v>291</v>
      </c>
      <c r="C59" t="s">
        <v>14</v>
      </c>
      <c r="D59">
        <f>HEX2DEC(Tabela1[[#This Row],[ecpriIDstr]])</f>
        <v>41120</v>
      </c>
      <c r="E59">
        <v>0</v>
      </c>
      <c r="F59">
        <v>2</v>
      </c>
      <c r="G59">
        <v>0</v>
      </c>
      <c r="H59">
        <v>57</v>
      </c>
      <c r="I59">
        <v>1</v>
      </c>
      <c r="J59">
        <v>0</v>
      </c>
      <c r="K59">
        <v>1</v>
      </c>
      <c r="L59">
        <v>1</v>
      </c>
      <c r="M59">
        <v>1</v>
      </c>
    </row>
    <row r="60" spans="1:13" x14ac:dyDescent="0.25">
      <c r="A60">
        <v>123</v>
      </c>
      <c r="B60">
        <f>HEX2DEC(Tabela1[[#This Row],[VLANStr]])</f>
        <v>291</v>
      </c>
      <c r="C60" t="s">
        <v>14</v>
      </c>
      <c r="D60">
        <f>HEX2DEC(Tabela1[[#This Row],[ecpriIDstr]])</f>
        <v>41120</v>
      </c>
      <c r="E60">
        <v>0</v>
      </c>
      <c r="F60">
        <v>2</v>
      </c>
      <c r="G60">
        <v>0</v>
      </c>
      <c r="H60">
        <v>58</v>
      </c>
      <c r="I60">
        <v>1</v>
      </c>
      <c r="J60">
        <v>0</v>
      </c>
      <c r="K60">
        <v>1</v>
      </c>
      <c r="L60">
        <v>1</v>
      </c>
      <c r="M60">
        <v>1</v>
      </c>
    </row>
    <row r="61" spans="1:13" x14ac:dyDescent="0.25">
      <c r="A61">
        <v>123</v>
      </c>
      <c r="B61">
        <f>HEX2DEC(Tabela1[[#This Row],[VLANStr]])</f>
        <v>291</v>
      </c>
      <c r="C61" t="s">
        <v>14</v>
      </c>
      <c r="D61">
        <f>HEX2DEC(Tabela1[[#This Row],[ecpriIDstr]])</f>
        <v>41120</v>
      </c>
      <c r="E61">
        <v>0</v>
      </c>
      <c r="F61">
        <v>2</v>
      </c>
      <c r="G61">
        <v>0</v>
      </c>
      <c r="H61">
        <v>59</v>
      </c>
      <c r="I61">
        <v>1</v>
      </c>
      <c r="J61">
        <v>0</v>
      </c>
      <c r="K61">
        <v>1</v>
      </c>
      <c r="L61">
        <v>1</v>
      </c>
      <c r="M61">
        <v>1</v>
      </c>
    </row>
    <row r="62" spans="1:13" x14ac:dyDescent="0.25">
      <c r="A62">
        <v>123</v>
      </c>
      <c r="B62">
        <f>HEX2DEC(Tabela1[[#This Row],[VLANStr]])</f>
        <v>291</v>
      </c>
      <c r="C62" t="s">
        <v>14</v>
      </c>
      <c r="D62">
        <f>HEX2DEC(Tabela1[[#This Row],[ecpriIDstr]])</f>
        <v>41120</v>
      </c>
      <c r="E62">
        <v>0</v>
      </c>
      <c r="F62">
        <v>2</v>
      </c>
      <c r="G62">
        <v>0</v>
      </c>
      <c r="H62">
        <v>60</v>
      </c>
      <c r="I62">
        <v>1</v>
      </c>
      <c r="J62">
        <v>0</v>
      </c>
      <c r="K62">
        <v>1</v>
      </c>
      <c r="L62">
        <v>1</v>
      </c>
      <c r="M62">
        <v>1</v>
      </c>
    </row>
    <row r="63" spans="1:13" x14ac:dyDescent="0.25">
      <c r="A63">
        <v>123</v>
      </c>
      <c r="B63">
        <f>HEX2DEC(Tabela1[[#This Row],[VLANStr]])</f>
        <v>291</v>
      </c>
      <c r="C63" t="s">
        <v>14</v>
      </c>
      <c r="D63">
        <f>HEX2DEC(Tabela1[[#This Row],[ecpriIDstr]])</f>
        <v>41120</v>
      </c>
      <c r="E63">
        <v>0</v>
      </c>
      <c r="F63">
        <v>2</v>
      </c>
      <c r="G63">
        <v>0</v>
      </c>
      <c r="H63">
        <v>61</v>
      </c>
      <c r="I63">
        <v>1</v>
      </c>
      <c r="J63">
        <v>0</v>
      </c>
      <c r="K63">
        <v>1</v>
      </c>
      <c r="L63">
        <v>1</v>
      </c>
      <c r="M63">
        <v>1</v>
      </c>
    </row>
    <row r="64" spans="1:13" x14ac:dyDescent="0.25">
      <c r="A64">
        <v>123</v>
      </c>
      <c r="B64">
        <f>HEX2DEC(Tabela1[[#This Row],[VLANStr]])</f>
        <v>291</v>
      </c>
      <c r="C64" t="s">
        <v>14</v>
      </c>
      <c r="D64">
        <f>HEX2DEC(Tabela1[[#This Row],[ecpriIDstr]])</f>
        <v>41120</v>
      </c>
      <c r="E64">
        <v>0</v>
      </c>
      <c r="F64">
        <v>2</v>
      </c>
      <c r="G64">
        <v>0</v>
      </c>
      <c r="H64">
        <v>62</v>
      </c>
      <c r="I64">
        <v>1</v>
      </c>
      <c r="J64">
        <v>0</v>
      </c>
      <c r="K64">
        <v>1</v>
      </c>
      <c r="L64">
        <v>1</v>
      </c>
      <c r="M64">
        <v>1</v>
      </c>
    </row>
    <row r="65" spans="1:13" x14ac:dyDescent="0.25">
      <c r="A65">
        <v>123</v>
      </c>
      <c r="B65">
        <f>HEX2DEC(Tabela1[[#This Row],[VLANStr]])</f>
        <v>291</v>
      </c>
      <c r="C65" t="s">
        <v>14</v>
      </c>
      <c r="D65">
        <f>HEX2DEC(Tabela1[[#This Row],[ecpriIDstr]])</f>
        <v>41120</v>
      </c>
      <c r="E65">
        <v>0</v>
      </c>
      <c r="F65">
        <v>2</v>
      </c>
      <c r="G65">
        <v>0</v>
      </c>
      <c r="H65">
        <v>63</v>
      </c>
      <c r="I65">
        <v>1</v>
      </c>
      <c r="J65">
        <v>0</v>
      </c>
      <c r="K65">
        <v>1</v>
      </c>
      <c r="L65">
        <v>1</v>
      </c>
      <c r="M65">
        <v>1</v>
      </c>
    </row>
    <row r="66" spans="1:13" x14ac:dyDescent="0.25">
      <c r="A66">
        <v>123</v>
      </c>
      <c r="B66">
        <f>HEX2DEC(Tabela1[[#This Row],[VLANStr]])</f>
        <v>291</v>
      </c>
      <c r="C66" t="s">
        <v>14</v>
      </c>
      <c r="D66">
        <f>HEX2DEC(Tabela1[[#This Row],[ecpriIDstr]])</f>
        <v>41120</v>
      </c>
      <c r="E66">
        <v>0</v>
      </c>
      <c r="F66">
        <v>2</v>
      </c>
      <c r="G66">
        <v>0</v>
      </c>
      <c r="H66">
        <v>64</v>
      </c>
      <c r="I66">
        <v>1</v>
      </c>
      <c r="J66">
        <v>0</v>
      </c>
      <c r="K66">
        <v>1</v>
      </c>
      <c r="L66">
        <v>1</v>
      </c>
      <c r="M66">
        <v>1</v>
      </c>
    </row>
    <row r="67" spans="1:13" x14ac:dyDescent="0.25">
      <c r="A67">
        <v>123</v>
      </c>
      <c r="B67">
        <f>HEX2DEC(Tabela1[[#This Row],[VLANStr]])</f>
        <v>291</v>
      </c>
      <c r="C67" t="s">
        <v>14</v>
      </c>
      <c r="D67">
        <f>HEX2DEC(Tabela1[[#This Row],[ecpriIDstr]])</f>
        <v>41120</v>
      </c>
      <c r="E67">
        <v>0</v>
      </c>
      <c r="F67">
        <v>2</v>
      </c>
      <c r="G67">
        <v>0</v>
      </c>
      <c r="H67">
        <v>65</v>
      </c>
      <c r="I67">
        <v>1</v>
      </c>
      <c r="J67">
        <v>0</v>
      </c>
      <c r="K67">
        <v>1</v>
      </c>
      <c r="L67">
        <v>1</v>
      </c>
      <c r="M67">
        <v>1</v>
      </c>
    </row>
    <row r="68" spans="1:13" x14ac:dyDescent="0.25">
      <c r="A68">
        <v>123</v>
      </c>
      <c r="B68">
        <f>HEX2DEC(Tabela1[[#This Row],[VLANStr]])</f>
        <v>291</v>
      </c>
      <c r="C68" t="s">
        <v>14</v>
      </c>
      <c r="D68">
        <f>HEX2DEC(Tabela1[[#This Row],[ecpriIDstr]])</f>
        <v>41120</v>
      </c>
      <c r="E68">
        <v>0</v>
      </c>
      <c r="F68">
        <v>2</v>
      </c>
      <c r="G68">
        <v>0</v>
      </c>
      <c r="H68">
        <v>66</v>
      </c>
      <c r="I68">
        <v>1</v>
      </c>
      <c r="J68">
        <v>0</v>
      </c>
      <c r="K68">
        <v>1</v>
      </c>
      <c r="L68">
        <v>1</v>
      </c>
      <c r="M68">
        <v>1</v>
      </c>
    </row>
    <row r="69" spans="1:13" x14ac:dyDescent="0.25">
      <c r="A69">
        <v>123</v>
      </c>
      <c r="B69">
        <f>HEX2DEC(Tabela1[[#This Row],[VLANStr]])</f>
        <v>291</v>
      </c>
      <c r="C69" t="s">
        <v>14</v>
      </c>
      <c r="D69">
        <f>HEX2DEC(Tabela1[[#This Row],[ecpriIDstr]])</f>
        <v>41120</v>
      </c>
      <c r="E69">
        <v>0</v>
      </c>
      <c r="F69">
        <v>2</v>
      </c>
      <c r="G69">
        <v>0</v>
      </c>
      <c r="H69">
        <v>67</v>
      </c>
      <c r="I69">
        <v>1</v>
      </c>
      <c r="J69">
        <v>0</v>
      </c>
      <c r="K69">
        <v>1</v>
      </c>
      <c r="L69">
        <v>1</v>
      </c>
      <c r="M69">
        <v>1</v>
      </c>
    </row>
    <row r="70" spans="1:13" x14ac:dyDescent="0.25">
      <c r="A70">
        <v>123</v>
      </c>
      <c r="B70">
        <f>HEX2DEC(Tabela1[[#This Row],[VLANStr]])</f>
        <v>291</v>
      </c>
      <c r="C70" t="s">
        <v>14</v>
      </c>
      <c r="D70">
        <f>HEX2DEC(Tabela1[[#This Row],[ecpriIDstr]])</f>
        <v>41120</v>
      </c>
      <c r="E70">
        <v>0</v>
      </c>
      <c r="F70">
        <v>2</v>
      </c>
      <c r="G70">
        <v>0</v>
      </c>
      <c r="H70">
        <v>68</v>
      </c>
      <c r="I70">
        <v>1</v>
      </c>
      <c r="J70">
        <v>0</v>
      </c>
      <c r="K70">
        <v>1</v>
      </c>
      <c r="L70">
        <v>1</v>
      </c>
      <c r="M70">
        <v>1</v>
      </c>
    </row>
    <row r="71" spans="1:13" x14ac:dyDescent="0.25">
      <c r="A71">
        <v>123</v>
      </c>
      <c r="B71">
        <f>HEX2DEC(Tabela1[[#This Row],[VLANStr]])</f>
        <v>291</v>
      </c>
      <c r="C71" t="s">
        <v>14</v>
      </c>
      <c r="D71">
        <f>HEX2DEC(Tabela1[[#This Row],[ecpriIDstr]])</f>
        <v>41120</v>
      </c>
      <c r="E71">
        <v>0</v>
      </c>
      <c r="F71">
        <v>2</v>
      </c>
      <c r="G71">
        <v>0</v>
      </c>
      <c r="H71">
        <v>69</v>
      </c>
      <c r="I71">
        <v>1</v>
      </c>
      <c r="J71">
        <v>0</v>
      </c>
      <c r="K71">
        <v>1</v>
      </c>
      <c r="L71">
        <v>1</v>
      </c>
      <c r="M71">
        <v>1</v>
      </c>
    </row>
    <row r="72" spans="1:13" x14ac:dyDescent="0.25">
      <c r="A72">
        <v>123</v>
      </c>
      <c r="B72">
        <f>HEX2DEC(Tabela1[[#This Row],[VLANStr]])</f>
        <v>291</v>
      </c>
      <c r="C72" t="s">
        <v>14</v>
      </c>
      <c r="D72">
        <f>HEX2DEC(Tabela1[[#This Row],[ecpriIDstr]])</f>
        <v>41120</v>
      </c>
      <c r="E72">
        <v>0</v>
      </c>
      <c r="F72">
        <v>2</v>
      </c>
      <c r="G72">
        <v>0</v>
      </c>
      <c r="H72">
        <v>70</v>
      </c>
      <c r="I72">
        <v>1</v>
      </c>
      <c r="J72">
        <v>0</v>
      </c>
      <c r="K72">
        <v>1</v>
      </c>
      <c r="L72">
        <v>1</v>
      </c>
      <c r="M72">
        <v>1</v>
      </c>
    </row>
    <row r="73" spans="1:13" x14ac:dyDescent="0.25">
      <c r="A73">
        <v>123</v>
      </c>
      <c r="B73">
        <f>HEX2DEC(Tabela1[[#This Row],[VLANStr]])</f>
        <v>291</v>
      </c>
      <c r="C73" t="s">
        <v>14</v>
      </c>
      <c r="D73">
        <f>HEX2DEC(Tabela1[[#This Row],[ecpriIDstr]])</f>
        <v>41120</v>
      </c>
      <c r="E73">
        <v>0</v>
      </c>
      <c r="F73">
        <v>2</v>
      </c>
      <c r="G73">
        <v>0</v>
      </c>
      <c r="H73">
        <v>71</v>
      </c>
      <c r="I73">
        <v>1</v>
      </c>
      <c r="J73">
        <v>0</v>
      </c>
      <c r="K73">
        <v>1</v>
      </c>
      <c r="L73">
        <v>1</v>
      </c>
      <c r="M73">
        <v>1</v>
      </c>
    </row>
    <row r="74" spans="1:13" x14ac:dyDescent="0.25">
      <c r="A74">
        <v>123</v>
      </c>
      <c r="B74">
        <f>HEX2DEC(Tabela1[[#This Row],[VLANStr]])</f>
        <v>291</v>
      </c>
      <c r="C74" t="s">
        <v>14</v>
      </c>
      <c r="D74">
        <f>HEX2DEC(Tabela1[[#This Row],[ecpriIDstr]])</f>
        <v>41120</v>
      </c>
      <c r="E74">
        <v>0</v>
      </c>
      <c r="F74">
        <v>2</v>
      </c>
      <c r="G74">
        <v>0</v>
      </c>
      <c r="H74">
        <v>72</v>
      </c>
      <c r="I74">
        <v>1</v>
      </c>
      <c r="J74">
        <v>0</v>
      </c>
      <c r="K74">
        <v>1</v>
      </c>
      <c r="L74">
        <v>1</v>
      </c>
      <c r="M74">
        <v>1</v>
      </c>
    </row>
    <row r="75" spans="1:13" x14ac:dyDescent="0.25">
      <c r="A75">
        <v>123</v>
      </c>
      <c r="B75">
        <f>HEX2DEC(Tabela1[[#This Row],[VLANStr]])</f>
        <v>291</v>
      </c>
      <c r="C75" t="s">
        <v>14</v>
      </c>
      <c r="D75">
        <f>HEX2DEC(Tabela1[[#This Row],[ecpriIDstr]])</f>
        <v>41120</v>
      </c>
      <c r="E75">
        <v>0</v>
      </c>
      <c r="F75">
        <v>2</v>
      </c>
      <c r="G75">
        <v>0</v>
      </c>
      <c r="H75">
        <v>73</v>
      </c>
      <c r="I75">
        <v>1</v>
      </c>
      <c r="J75">
        <v>0</v>
      </c>
      <c r="K75">
        <v>1</v>
      </c>
      <c r="L75">
        <v>1</v>
      </c>
      <c r="M75">
        <v>1</v>
      </c>
    </row>
    <row r="76" spans="1:13" x14ac:dyDescent="0.25">
      <c r="A76">
        <v>123</v>
      </c>
      <c r="B76">
        <f>HEX2DEC(Tabela1[[#This Row],[VLANStr]])</f>
        <v>291</v>
      </c>
      <c r="C76" t="s">
        <v>14</v>
      </c>
      <c r="D76">
        <f>HEX2DEC(Tabela1[[#This Row],[ecpriIDstr]])</f>
        <v>41120</v>
      </c>
      <c r="E76">
        <v>0</v>
      </c>
      <c r="F76">
        <v>2</v>
      </c>
      <c r="G76">
        <v>0</v>
      </c>
      <c r="H76">
        <v>74</v>
      </c>
      <c r="I76">
        <v>1</v>
      </c>
      <c r="J76">
        <v>0</v>
      </c>
      <c r="K76">
        <v>1</v>
      </c>
      <c r="L76">
        <v>1</v>
      </c>
      <c r="M76">
        <v>1</v>
      </c>
    </row>
    <row r="77" spans="1:13" x14ac:dyDescent="0.25">
      <c r="A77">
        <v>123</v>
      </c>
      <c r="B77">
        <f>HEX2DEC(Tabela1[[#This Row],[VLANStr]])</f>
        <v>291</v>
      </c>
      <c r="C77" t="s">
        <v>14</v>
      </c>
      <c r="D77">
        <f>HEX2DEC(Tabela1[[#This Row],[ecpriIDstr]])</f>
        <v>41120</v>
      </c>
      <c r="E77">
        <v>0</v>
      </c>
      <c r="F77">
        <v>2</v>
      </c>
      <c r="G77">
        <v>0</v>
      </c>
      <c r="H77">
        <v>75</v>
      </c>
      <c r="I77">
        <v>1</v>
      </c>
      <c r="J77">
        <v>0</v>
      </c>
      <c r="K77">
        <v>1</v>
      </c>
      <c r="L77">
        <v>1</v>
      </c>
      <c r="M77">
        <v>1</v>
      </c>
    </row>
    <row r="78" spans="1:13" x14ac:dyDescent="0.25">
      <c r="A78">
        <v>123</v>
      </c>
      <c r="B78">
        <f>HEX2DEC(Tabela1[[#This Row],[VLANStr]])</f>
        <v>291</v>
      </c>
      <c r="C78" t="s">
        <v>14</v>
      </c>
      <c r="D78">
        <f>HEX2DEC(Tabela1[[#This Row],[ecpriIDstr]])</f>
        <v>41120</v>
      </c>
      <c r="E78">
        <v>0</v>
      </c>
      <c r="F78">
        <v>2</v>
      </c>
      <c r="G78">
        <v>0</v>
      </c>
      <c r="H78">
        <v>76</v>
      </c>
      <c r="I78">
        <v>1</v>
      </c>
      <c r="J78">
        <v>0</v>
      </c>
      <c r="K78">
        <v>1</v>
      </c>
      <c r="L78">
        <v>1</v>
      </c>
      <c r="M78">
        <v>1</v>
      </c>
    </row>
    <row r="79" spans="1:13" x14ac:dyDescent="0.25">
      <c r="A79">
        <v>123</v>
      </c>
      <c r="B79">
        <f>HEX2DEC(Tabela1[[#This Row],[VLANStr]])</f>
        <v>291</v>
      </c>
      <c r="C79" t="s">
        <v>14</v>
      </c>
      <c r="D79">
        <f>HEX2DEC(Tabela1[[#This Row],[ecpriIDstr]])</f>
        <v>41120</v>
      </c>
      <c r="E79">
        <v>0</v>
      </c>
      <c r="F79">
        <v>2</v>
      </c>
      <c r="G79">
        <v>0</v>
      </c>
      <c r="H79">
        <v>77</v>
      </c>
      <c r="I79">
        <v>1</v>
      </c>
      <c r="J79">
        <v>0</v>
      </c>
      <c r="K79">
        <v>1</v>
      </c>
      <c r="L79">
        <v>1</v>
      </c>
      <c r="M79">
        <v>1</v>
      </c>
    </row>
    <row r="80" spans="1:13" x14ac:dyDescent="0.25">
      <c r="A80">
        <v>123</v>
      </c>
      <c r="B80">
        <f>HEX2DEC(Tabela1[[#This Row],[VLANStr]])</f>
        <v>291</v>
      </c>
      <c r="C80" t="s">
        <v>14</v>
      </c>
      <c r="D80">
        <f>HEX2DEC(Tabela1[[#This Row],[ecpriIDstr]])</f>
        <v>41120</v>
      </c>
      <c r="E80">
        <v>0</v>
      </c>
      <c r="F80">
        <v>2</v>
      </c>
      <c r="G80">
        <v>0</v>
      </c>
      <c r="H80">
        <v>78</v>
      </c>
      <c r="I80">
        <v>1</v>
      </c>
      <c r="J80">
        <v>0</v>
      </c>
      <c r="K80">
        <v>1</v>
      </c>
      <c r="L80">
        <v>1</v>
      </c>
      <c r="M80">
        <v>1</v>
      </c>
    </row>
    <row r="81" spans="1:13" x14ac:dyDescent="0.25">
      <c r="A81">
        <v>123</v>
      </c>
      <c r="B81">
        <f>HEX2DEC(Tabela1[[#This Row],[VLANStr]])</f>
        <v>291</v>
      </c>
      <c r="C81" t="s">
        <v>14</v>
      </c>
      <c r="D81">
        <f>HEX2DEC(Tabela1[[#This Row],[ecpriIDstr]])</f>
        <v>41120</v>
      </c>
      <c r="E81">
        <v>0</v>
      </c>
      <c r="F81">
        <v>2</v>
      </c>
      <c r="G81">
        <v>0</v>
      </c>
      <c r="H81">
        <v>79</v>
      </c>
      <c r="I81">
        <v>1</v>
      </c>
      <c r="J81">
        <v>0</v>
      </c>
      <c r="K81">
        <v>1</v>
      </c>
      <c r="L81">
        <v>1</v>
      </c>
      <c r="M81">
        <v>1</v>
      </c>
    </row>
    <row r="82" spans="1:13" x14ac:dyDescent="0.25">
      <c r="A82">
        <v>123</v>
      </c>
      <c r="B82">
        <f>HEX2DEC(Tabela1[[#This Row],[VLANStr]])</f>
        <v>291</v>
      </c>
      <c r="C82" t="s">
        <v>14</v>
      </c>
      <c r="D82">
        <f>HEX2DEC(Tabela1[[#This Row],[ecpriIDstr]])</f>
        <v>41120</v>
      </c>
      <c r="E82">
        <v>0</v>
      </c>
      <c r="F82">
        <v>2</v>
      </c>
      <c r="G82">
        <v>0</v>
      </c>
      <c r="H82">
        <v>80</v>
      </c>
      <c r="I82">
        <v>1</v>
      </c>
      <c r="J82">
        <v>0</v>
      </c>
      <c r="K82">
        <v>1</v>
      </c>
      <c r="L82">
        <v>1</v>
      </c>
      <c r="M82">
        <v>1</v>
      </c>
    </row>
    <row r="83" spans="1:13" x14ac:dyDescent="0.25">
      <c r="A83">
        <v>123</v>
      </c>
      <c r="B83">
        <f>HEX2DEC(Tabela1[[#This Row],[VLANStr]])</f>
        <v>291</v>
      </c>
      <c r="C83" t="s">
        <v>14</v>
      </c>
      <c r="D83">
        <f>HEX2DEC(Tabela1[[#This Row],[ecpriIDstr]])</f>
        <v>41120</v>
      </c>
      <c r="E83">
        <v>0</v>
      </c>
      <c r="F83">
        <v>2</v>
      </c>
      <c r="G83">
        <v>0</v>
      </c>
      <c r="H83">
        <v>81</v>
      </c>
      <c r="I83">
        <v>1</v>
      </c>
      <c r="J83">
        <v>0</v>
      </c>
      <c r="K83">
        <v>1</v>
      </c>
      <c r="L83">
        <v>1</v>
      </c>
      <c r="M83">
        <v>1</v>
      </c>
    </row>
    <row r="84" spans="1:13" x14ac:dyDescent="0.25">
      <c r="A84">
        <v>123</v>
      </c>
      <c r="B84">
        <f>HEX2DEC(Tabela1[[#This Row],[VLANStr]])</f>
        <v>291</v>
      </c>
      <c r="C84" t="s">
        <v>14</v>
      </c>
      <c r="D84">
        <f>HEX2DEC(Tabela1[[#This Row],[ecpriIDstr]])</f>
        <v>41120</v>
      </c>
      <c r="E84">
        <v>0</v>
      </c>
      <c r="F84">
        <v>2</v>
      </c>
      <c r="G84">
        <v>0</v>
      </c>
      <c r="H84">
        <v>82</v>
      </c>
      <c r="I84">
        <v>1</v>
      </c>
      <c r="J84">
        <v>0</v>
      </c>
      <c r="K84">
        <v>1</v>
      </c>
      <c r="L84">
        <v>1</v>
      </c>
      <c r="M84">
        <v>1</v>
      </c>
    </row>
    <row r="85" spans="1:13" x14ac:dyDescent="0.25">
      <c r="A85">
        <v>123</v>
      </c>
      <c r="B85">
        <f>HEX2DEC(Tabela1[[#This Row],[VLANStr]])</f>
        <v>291</v>
      </c>
      <c r="C85" t="s">
        <v>14</v>
      </c>
      <c r="D85">
        <f>HEX2DEC(Tabela1[[#This Row],[ecpriIDstr]])</f>
        <v>41120</v>
      </c>
      <c r="E85">
        <v>0</v>
      </c>
      <c r="F85">
        <v>2</v>
      </c>
      <c r="G85">
        <v>0</v>
      </c>
      <c r="H85">
        <v>83</v>
      </c>
      <c r="I85">
        <v>1</v>
      </c>
      <c r="J85">
        <v>0</v>
      </c>
      <c r="K85">
        <v>1</v>
      </c>
      <c r="L85">
        <v>1</v>
      </c>
      <c r="M85">
        <v>1</v>
      </c>
    </row>
    <row r="86" spans="1:13" x14ac:dyDescent="0.25">
      <c r="A86">
        <v>123</v>
      </c>
      <c r="B86">
        <f>HEX2DEC(Tabela1[[#This Row],[VLANStr]])</f>
        <v>291</v>
      </c>
      <c r="C86" t="s">
        <v>14</v>
      </c>
      <c r="D86">
        <f>HEX2DEC(Tabela1[[#This Row],[ecpriIDstr]])</f>
        <v>41120</v>
      </c>
      <c r="E86">
        <v>0</v>
      </c>
      <c r="F86">
        <v>2</v>
      </c>
      <c r="G86">
        <v>0</v>
      </c>
      <c r="H86">
        <v>84</v>
      </c>
      <c r="I86">
        <v>1</v>
      </c>
      <c r="J86">
        <v>0</v>
      </c>
      <c r="K86">
        <v>1</v>
      </c>
      <c r="L86">
        <v>1</v>
      </c>
      <c r="M86">
        <v>1</v>
      </c>
    </row>
    <row r="87" spans="1:13" x14ac:dyDescent="0.25">
      <c r="A87">
        <v>123</v>
      </c>
      <c r="B87">
        <f>HEX2DEC(Tabela1[[#This Row],[VLANStr]])</f>
        <v>291</v>
      </c>
      <c r="C87" t="s">
        <v>14</v>
      </c>
      <c r="D87">
        <f>HEX2DEC(Tabela1[[#This Row],[ecpriIDstr]])</f>
        <v>41120</v>
      </c>
      <c r="E87">
        <v>0</v>
      </c>
      <c r="F87">
        <v>2</v>
      </c>
      <c r="G87">
        <v>0</v>
      </c>
      <c r="H87">
        <v>85</v>
      </c>
      <c r="I87">
        <v>1</v>
      </c>
      <c r="J87">
        <v>0</v>
      </c>
      <c r="K87">
        <v>1</v>
      </c>
      <c r="L87">
        <v>1</v>
      </c>
      <c r="M87">
        <v>1</v>
      </c>
    </row>
    <row r="88" spans="1:13" x14ac:dyDescent="0.25">
      <c r="A88">
        <v>123</v>
      </c>
      <c r="B88">
        <f>HEX2DEC(Tabela1[[#This Row],[VLANStr]])</f>
        <v>291</v>
      </c>
      <c r="C88" t="s">
        <v>14</v>
      </c>
      <c r="D88">
        <f>HEX2DEC(Tabela1[[#This Row],[ecpriIDstr]])</f>
        <v>41120</v>
      </c>
      <c r="E88">
        <v>0</v>
      </c>
      <c r="F88">
        <v>2</v>
      </c>
      <c r="G88">
        <v>0</v>
      </c>
      <c r="H88">
        <v>86</v>
      </c>
      <c r="I88">
        <v>1</v>
      </c>
      <c r="J88">
        <v>0</v>
      </c>
      <c r="K88">
        <v>1</v>
      </c>
      <c r="L88">
        <v>1</v>
      </c>
      <c r="M88">
        <v>1</v>
      </c>
    </row>
    <row r="89" spans="1:13" x14ac:dyDescent="0.25">
      <c r="A89">
        <v>123</v>
      </c>
      <c r="B89">
        <f>HEX2DEC(Tabela1[[#This Row],[VLANStr]])</f>
        <v>291</v>
      </c>
      <c r="C89" t="s">
        <v>14</v>
      </c>
      <c r="D89">
        <f>HEX2DEC(Tabela1[[#This Row],[ecpriIDstr]])</f>
        <v>41120</v>
      </c>
      <c r="E89">
        <v>0</v>
      </c>
      <c r="F89">
        <v>2</v>
      </c>
      <c r="G89">
        <v>0</v>
      </c>
      <c r="H89">
        <v>87</v>
      </c>
      <c r="I89">
        <v>1</v>
      </c>
      <c r="J89">
        <v>0</v>
      </c>
      <c r="K89">
        <v>1</v>
      </c>
      <c r="L89">
        <v>1</v>
      </c>
      <c r="M89">
        <v>1</v>
      </c>
    </row>
    <row r="90" spans="1:13" x14ac:dyDescent="0.25">
      <c r="A90">
        <v>123</v>
      </c>
      <c r="B90">
        <f>HEX2DEC(Tabela1[[#This Row],[VLANStr]])</f>
        <v>291</v>
      </c>
      <c r="C90" t="s">
        <v>14</v>
      </c>
      <c r="D90">
        <f>HEX2DEC(Tabela1[[#This Row],[ecpriIDstr]])</f>
        <v>41120</v>
      </c>
      <c r="E90">
        <v>0</v>
      </c>
      <c r="F90">
        <v>2</v>
      </c>
      <c r="G90">
        <v>0</v>
      </c>
      <c r="H90">
        <v>88</v>
      </c>
      <c r="I90">
        <v>1</v>
      </c>
      <c r="J90">
        <v>0</v>
      </c>
      <c r="K90">
        <v>1</v>
      </c>
      <c r="L90">
        <v>1</v>
      </c>
      <c r="M90">
        <v>1</v>
      </c>
    </row>
    <row r="91" spans="1:13" x14ac:dyDescent="0.25">
      <c r="A91">
        <v>123</v>
      </c>
      <c r="B91">
        <f>HEX2DEC(Tabela1[[#This Row],[VLANStr]])</f>
        <v>291</v>
      </c>
      <c r="C91" t="s">
        <v>14</v>
      </c>
      <c r="D91">
        <f>HEX2DEC(Tabela1[[#This Row],[ecpriIDstr]])</f>
        <v>41120</v>
      </c>
      <c r="E91">
        <v>0</v>
      </c>
      <c r="F91">
        <v>2</v>
      </c>
      <c r="G91">
        <v>0</v>
      </c>
      <c r="H91">
        <v>89</v>
      </c>
      <c r="I91">
        <v>1</v>
      </c>
      <c r="J91">
        <v>0</v>
      </c>
      <c r="K91">
        <v>1</v>
      </c>
      <c r="L91">
        <v>1</v>
      </c>
      <c r="M91">
        <v>1</v>
      </c>
    </row>
    <row r="92" spans="1:13" x14ac:dyDescent="0.25">
      <c r="A92">
        <v>123</v>
      </c>
      <c r="B92">
        <f>HEX2DEC(Tabela1[[#This Row],[VLANStr]])</f>
        <v>291</v>
      </c>
      <c r="C92" t="s">
        <v>14</v>
      </c>
      <c r="D92">
        <f>HEX2DEC(Tabela1[[#This Row],[ecpriIDstr]])</f>
        <v>41120</v>
      </c>
      <c r="E92">
        <v>0</v>
      </c>
      <c r="F92">
        <v>2</v>
      </c>
      <c r="G92">
        <v>0</v>
      </c>
      <c r="H92">
        <v>90</v>
      </c>
      <c r="I92">
        <v>1</v>
      </c>
      <c r="J92">
        <v>0</v>
      </c>
      <c r="K92">
        <v>1</v>
      </c>
      <c r="L92">
        <v>1</v>
      </c>
      <c r="M92">
        <v>1</v>
      </c>
    </row>
    <row r="93" spans="1:13" x14ac:dyDescent="0.25">
      <c r="A93">
        <v>123</v>
      </c>
      <c r="B93">
        <f>HEX2DEC(Tabela1[[#This Row],[VLANStr]])</f>
        <v>291</v>
      </c>
      <c r="C93" t="s">
        <v>14</v>
      </c>
      <c r="D93">
        <f>HEX2DEC(Tabela1[[#This Row],[ecpriIDstr]])</f>
        <v>41120</v>
      </c>
      <c r="E93">
        <v>0</v>
      </c>
      <c r="F93">
        <v>2</v>
      </c>
      <c r="G93">
        <v>0</v>
      </c>
      <c r="H93">
        <v>91</v>
      </c>
      <c r="I93">
        <v>1</v>
      </c>
      <c r="J93">
        <v>0</v>
      </c>
      <c r="K93">
        <v>1</v>
      </c>
      <c r="L93">
        <v>1</v>
      </c>
      <c r="M93">
        <v>1</v>
      </c>
    </row>
    <row r="94" spans="1:13" x14ac:dyDescent="0.25">
      <c r="A94">
        <v>123</v>
      </c>
      <c r="B94">
        <f>HEX2DEC(Tabela1[[#This Row],[VLANStr]])</f>
        <v>291</v>
      </c>
      <c r="C94" t="s">
        <v>14</v>
      </c>
      <c r="D94">
        <f>HEX2DEC(Tabela1[[#This Row],[ecpriIDstr]])</f>
        <v>41120</v>
      </c>
      <c r="E94">
        <v>0</v>
      </c>
      <c r="F94">
        <v>2</v>
      </c>
      <c r="G94">
        <v>0</v>
      </c>
      <c r="H94">
        <v>92</v>
      </c>
      <c r="I94">
        <v>1</v>
      </c>
      <c r="J94">
        <v>0</v>
      </c>
      <c r="K94">
        <v>1</v>
      </c>
      <c r="L94">
        <v>1</v>
      </c>
      <c r="M94">
        <v>1</v>
      </c>
    </row>
    <row r="95" spans="1:13" x14ac:dyDescent="0.25">
      <c r="A95">
        <v>123</v>
      </c>
      <c r="B95">
        <f>HEX2DEC(Tabela1[[#This Row],[VLANStr]])</f>
        <v>291</v>
      </c>
      <c r="C95" t="s">
        <v>14</v>
      </c>
      <c r="D95">
        <f>HEX2DEC(Tabela1[[#This Row],[ecpriIDstr]])</f>
        <v>41120</v>
      </c>
      <c r="E95">
        <v>0</v>
      </c>
      <c r="F95">
        <v>2</v>
      </c>
      <c r="G95">
        <v>0</v>
      </c>
      <c r="H95">
        <v>93</v>
      </c>
      <c r="I95">
        <v>1</v>
      </c>
      <c r="J95">
        <v>0</v>
      </c>
      <c r="K95">
        <v>1</v>
      </c>
      <c r="L95">
        <v>1</v>
      </c>
      <c r="M95">
        <v>1</v>
      </c>
    </row>
    <row r="96" spans="1:13" x14ac:dyDescent="0.25">
      <c r="A96">
        <v>123</v>
      </c>
      <c r="B96">
        <f>HEX2DEC(Tabela1[[#This Row],[VLANStr]])</f>
        <v>291</v>
      </c>
      <c r="C96" t="s">
        <v>14</v>
      </c>
      <c r="D96">
        <f>HEX2DEC(Tabela1[[#This Row],[ecpriIDstr]])</f>
        <v>41120</v>
      </c>
      <c r="E96">
        <v>0</v>
      </c>
      <c r="F96">
        <v>2</v>
      </c>
      <c r="G96">
        <v>0</v>
      </c>
      <c r="H96">
        <v>94</v>
      </c>
      <c r="I96">
        <v>1</v>
      </c>
      <c r="J96">
        <v>0</v>
      </c>
      <c r="K96">
        <v>1</v>
      </c>
      <c r="L96">
        <v>1</v>
      </c>
      <c r="M96">
        <v>1</v>
      </c>
    </row>
    <row r="97" spans="1:13" x14ac:dyDescent="0.25">
      <c r="A97">
        <v>123</v>
      </c>
      <c r="B97">
        <f>HEX2DEC(Tabela1[[#This Row],[VLANStr]])</f>
        <v>291</v>
      </c>
      <c r="C97" t="s">
        <v>14</v>
      </c>
      <c r="D97">
        <f>HEX2DEC(Tabela1[[#This Row],[ecpriIDstr]])</f>
        <v>41120</v>
      </c>
      <c r="E97">
        <v>0</v>
      </c>
      <c r="F97">
        <v>2</v>
      </c>
      <c r="G97">
        <v>0</v>
      </c>
      <c r="H97">
        <v>95</v>
      </c>
      <c r="I97">
        <v>1</v>
      </c>
      <c r="J97">
        <v>0</v>
      </c>
      <c r="K97">
        <v>1</v>
      </c>
      <c r="L97">
        <v>1</v>
      </c>
      <c r="M97">
        <v>1</v>
      </c>
    </row>
    <row r="98" spans="1:13" x14ac:dyDescent="0.25">
      <c r="A98">
        <v>123</v>
      </c>
      <c r="B98">
        <f>HEX2DEC(Tabela1[[#This Row],[VLANStr]])</f>
        <v>291</v>
      </c>
      <c r="C98" t="s">
        <v>14</v>
      </c>
      <c r="D98">
        <f>HEX2DEC(Tabela1[[#This Row],[ecpriIDstr]])</f>
        <v>41120</v>
      </c>
      <c r="E98">
        <v>0</v>
      </c>
      <c r="F98">
        <v>2</v>
      </c>
      <c r="G98">
        <v>0</v>
      </c>
      <c r="H98">
        <v>96</v>
      </c>
      <c r="I98">
        <v>1</v>
      </c>
      <c r="J98">
        <v>0</v>
      </c>
      <c r="K98">
        <v>1</v>
      </c>
      <c r="L98">
        <v>1</v>
      </c>
      <c r="M98">
        <v>1</v>
      </c>
    </row>
    <row r="99" spans="1:13" x14ac:dyDescent="0.25">
      <c r="A99">
        <v>123</v>
      </c>
      <c r="B99">
        <f>HEX2DEC(Tabela1[[#This Row],[VLANStr]])</f>
        <v>291</v>
      </c>
      <c r="C99" t="s">
        <v>14</v>
      </c>
      <c r="D99">
        <f>HEX2DEC(Tabela1[[#This Row],[ecpriIDstr]])</f>
        <v>41120</v>
      </c>
      <c r="E99">
        <v>0</v>
      </c>
      <c r="F99">
        <v>2</v>
      </c>
      <c r="G99">
        <v>0</v>
      </c>
      <c r="H99">
        <v>97</v>
      </c>
      <c r="I99">
        <v>1</v>
      </c>
      <c r="J99">
        <v>0</v>
      </c>
      <c r="K99">
        <v>1</v>
      </c>
      <c r="L99">
        <v>1</v>
      </c>
      <c r="M99">
        <v>1</v>
      </c>
    </row>
    <row r="100" spans="1:13" x14ac:dyDescent="0.25">
      <c r="A100">
        <v>123</v>
      </c>
      <c r="B100">
        <f>HEX2DEC(Tabela1[[#This Row],[VLANStr]])</f>
        <v>291</v>
      </c>
      <c r="C100" t="s">
        <v>14</v>
      </c>
      <c r="D100">
        <f>HEX2DEC(Tabela1[[#This Row],[ecpriIDstr]])</f>
        <v>41120</v>
      </c>
      <c r="E100">
        <v>0</v>
      </c>
      <c r="F100">
        <v>2</v>
      </c>
      <c r="G100">
        <v>0</v>
      </c>
      <c r="H100">
        <v>98</v>
      </c>
      <c r="I100">
        <v>1</v>
      </c>
      <c r="J100">
        <v>0</v>
      </c>
      <c r="K100">
        <v>1</v>
      </c>
      <c r="L100">
        <v>1</v>
      </c>
      <c r="M100">
        <v>1</v>
      </c>
    </row>
    <row r="101" spans="1:13" x14ac:dyDescent="0.25">
      <c r="A101">
        <v>123</v>
      </c>
      <c r="B101">
        <f>HEX2DEC(Tabela1[[#This Row],[VLANStr]])</f>
        <v>291</v>
      </c>
      <c r="C101" t="s">
        <v>14</v>
      </c>
      <c r="D101">
        <f>HEX2DEC(Tabela1[[#This Row],[ecpriIDstr]])</f>
        <v>41120</v>
      </c>
      <c r="E101">
        <v>0</v>
      </c>
      <c r="F101">
        <v>2</v>
      </c>
      <c r="G101">
        <v>0</v>
      </c>
      <c r="H101">
        <v>99</v>
      </c>
      <c r="I101">
        <v>1</v>
      </c>
      <c r="J101">
        <v>0</v>
      </c>
      <c r="K101">
        <v>1</v>
      </c>
      <c r="L101">
        <v>1</v>
      </c>
      <c r="M101">
        <v>1</v>
      </c>
    </row>
    <row r="102" spans="1:13" x14ac:dyDescent="0.25">
      <c r="A102">
        <v>123</v>
      </c>
      <c r="B102">
        <f>HEX2DEC(Tabela1[[#This Row],[VLANStr]])</f>
        <v>291</v>
      </c>
      <c r="C102" t="s">
        <v>14</v>
      </c>
      <c r="D102">
        <f>HEX2DEC(Tabela1[[#This Row],[ecpriIDstr]])</f>
        <v>41120</v>
      </c>
      <c r="E102">
        <v>0</v>
      </c>
      <c r="F102">
        <v>2</v>
      </c>
      <c r="G102">
        <v>0</v>
      </c>
      <c r="H102">
        <v>100</v>
      </c>
      <c r="I102">
        <v>1</v>
      </c>
      <c r="J102">
        <v>0</v>
      </c>
      <c r="K102">
        <v>1</v>
      </c>
      <c r="L102">
        <v>1</v>
      </c>
      <c r="M102">
        <v>1</v>
      </c>
    </row>
    <row r="103" spans="1:13" x14ac:dyDescent="0.25">
      <c r="A103">
        <v>123</v>
      </c>
      <c r="B103">
        <f>HEX2DEC(Tabela1[[#This Row],[VLANStr]])</f>
        <v>291</v>
      </c>
      <c r="C103" t="s">
        <v>14</v>
      </c>
      <c r="D103">
        <f>HEX2DEC(Tabela1[[#This Row],[ecpriIDstr]])</f>
        <v>41120</v>
      </c>
      <c r="E103">
        <v>0</v>
      </c>
      <c r="F103">
        <v>2</v>
      </c>
      <c r="G103">
        <v>0</v>
      </c>
      <c r="H103">
        <v>101</v>
      </c>
      <c r="I103">
        <v>1</v>
      </c>
      <c r="J103">
        <v>0</v>
      </c>
      <c r="K103">
        <v>1</v>
      </c>
      <c r="L103">
        <v>1</v>
      </c>
      <c r="M103">
        <v>1</v>
      </c>
    </row>
    <row r="104" spans="1:13" x14ac:dyDescent="0.25">
      <c r="A104">
        <v>123</v>
      </c>
      <c r="B104">
        <f>HEX2DEC(Tabela1[[#This Row],[VLANStr]])</f>
        <v>291</v>
      </c>
      <c r="C104" t="s">
        <v>14</v>
      </c>
      <c r="D104">
        <f>HEX2DEC(Tabela1[[#This Row],[ecpriIDstr]])</f>
        <v>41120</v>
      </c>
      <c r="E104">
        <v>0</v>
      </c>
      <c r="F104">
        <v>2</v>
      </c>
      <c r="G104">
        <v>0</v>
      </c>
      <c r="H104">
        <v>102</v>
      </c>
      <c r="I104">
        <v>1</v>
      </c>
      <c r="J104">
        <v>0</v>
      </c>
      <c r="K104">
        <v>1</v>
      </c>
      <c r="L104">
        <v>1</v>
      </c>
      <c r="M104">
        <v>1</v>
      </c>
    </row>
    <row r="105" spans="1:13" x14ac:dyDescent="0.25">
      <c r="A105">
        <v>123</v>
      </c>
      <c r="B105">
        <f>HEX2DEC(Tabela1[[#This Row],[VLANStr]])</f>
        <v>291</v>
      </c>
      <c r="C105" t="s">
        <v>14</v>
      </c>
      <c r="D105">
        <f>HEX2DEC(Tabela1[[#This Row],[ecpriIDstr]])</f>
        <v>41120</v>
      </c>
      <c r="E105">
        <v>0</v>
      </c>
      <c r="F105">
        <v>2</v>
      </c>
      <c r="G105">
        <v>0</v>
      </c>
      <c r="H105">
        <v>103</v>
      </c>
      <c r="I105">
        <v>1</v>
      </c>
      <c r="J105">
        <v>0</v>
      </c>
      <c r="K105">
        <v>1</v>
      </c>
      <c r="L105">
        <v>1</v>
      </c>
      <c r="M105">
        <v>1</v>
      </c>
    </row>
    <row r="106" spans="1:13" x14ac:dyDescent="0.25">
      <c r="A106">
        <v>123</v>
      </c>
      <c r="B106">
        <f>HEX2DEC(Tabela1[[#This Row],[VLANStr]])</f>
        <v>291</v>
      </c>
      <c r="C106" t="s">
        <v>14</v>
      </c>
      <c r="D106">
        <f>HEX2DEC(Tabela1[[#This Row],[ecpriIDstr]])</f>
        <v>41120</v>
      </c>
      <c r="E106">
        <v>0</v>
      </c>
      <c r="F106">
        <v>2</v>
      </c>
      <c r="G106">
        <v>0</v>
      </c>
      <c r="H106">
        <v>104</v>
      </c>
      <c r="I106">
        <v>1</v>
      </c>
      <c r="J106">
        <v>0</v>
      </c>
      <c r="K106">
        <v>1</v>
      </c>
      <c r="L106">
        <v>1</v>
      </c>
      <c r="M106">
        <v>1</v>
      </c>
    </row>
    <row r="107" spans="1:13" x14ac:dyDescent="0.25">
      <c r="A107">
        <v>123</v>
      </c>
      <c r="B107">
        <f>HEX2DEC(Tabela1[[#This Row],[VLANStr]])</f>
        <v>291</v>
      </c>
      <c r="C107" t="s">
        <v>14</v>
      </c>
      <c r="D107">
        <f>HEX2DEC(Tabela1[[#This Row],[ecpriIDstr]])</f>
        <v>41120</v>
      </c>
      <c r="E107">
        <v>0</v>
      </c>
      <c r="F107">
        <v>2</v>
      </c>
      <c r="G107">
        <v>0</v>
      </c>
      <c r="H107">
        <v>105</v>
      </c>
      <c r="I107">
        <v>1</v>
      </c>
      <c r="J107">
        <v>0</v>
      </c>
      <c r="K107">
        <v>1</v>
      </c>
      <c r="L107">
        <v>1</v>
      </c>
      <c r="M107">
        <v>1</v>
      </c>
    </row>
    <row r="108" spans="1:13" x14ac:dyDescent="0.25">
      <c r="A108">
        <v>123</v>
      </c>
      <c r="B108">
        <f>HEX2DEC(Tabela1[[#This Row],[VLANStr]])</f>
        <v>291</v>
      </c>
      <c r="C108" t="s">
        <v>14</v>
      </c>
      <c r="D108">
        <f>HEX2DEC(Tabela1[[#This Row],[ecpriIDstr]])</f>
        <v>41120</v>
      </c>
      <c r="E108">
        <v>0</v>
      </c>
      <c r="F108">
        <v>2</v>
      </c>
      <c r="G108">
        <v>0</v>
      </c>
      <c r="H108">
        <v>106</v>
      </c>
      <c r="I108">
        <v>1</v>
      </c>
      <c r="J108">
        <v>0</v>
      </c>
      <c r="K108">
        <v>1</v>
      </c>
      <c r="L108">
        <v>1</v>
      </c>
      <c r="M108">
        <v>1</v>
      </c>
    </row>
    <row r="109" spans="1:13" x14ac:dyDescent="0.25">
      <c r="A109">
        <v>123</v>
      </c>
      <c r="B109">
        <f>HEX2DEC(Tabela1[[#This Row],[VLANStr]])</f>
        <v>291</v>
      </c>
      <c r="C109" t="s">
        <v>14</v>
      </c>
      <c r="D109">
        <f>HEX2DEC(Tabela1[[#This Row],[ecpriIDstr]])</f>
        <v>41120</v>
      </c>
      <c r="E109">
        <v>0</v>
      </c>
      <c r="F109">
        <v>2</v>
      </c>
      <c r="G109">
        <v>0</v>
      </c>
      <c r="H109">
        <v>107</v>
      </c>
      <c r="I109">
        <v>1</v>
      </c>
      <c r="J109">
        <v>0</v>
      </c>
      <c r="K109">
        <v>1</v>
      </c>
      <c r="L109">
        <v>1</v>
      </c>
      <c r="M109">
        <v>1</v>
      </c>
    </row>
    <row r="110" spans="1:13" x14ac:dyDescent="0.25">
      <c r="A110">
        <v>123</v>
      </c>
      <c r="B110">
        <f>HEX2DEC(Tabela1[[#This Row],[VLANStr]])</f>
        <v>291</v>
      </c>
      <c r="C110" t="s">
        <v>14</v>
      </c>
      <c r="D110">
        <f>HEX2DEC(Tabela1[[#This Row],[ecpriIDstr]])</f>
        <v>41120</v>
      </c>
      <c r="E110">
        <v>0</v>
      </c>
      <c r="F110">
        <v>2</v>
      </c>
      <c r="G110">
        <v>0</v>
      </c>
      <c r="H110">
        <v>108</v>
      </c>
      <c r="I110">
        <v>1</v>
      </c>
      <c r="J110">
        <v>0</v>
      </c>
      <c r="K110">
        <v>1</v>
      </c>
      <c r="L110">
        <v>1</v>
      </c>
      <c r="M110">
        <v>1</v>
      </c>
    </row>
    <row r="111" spans="1:13" x14ac:dyDescent="0.25">
      <c r="A111">
        <v>123</v>
      </c>
      <c r="B111">
        <f>HEX2DEC(Tabela1[[#This Row],[VLANStr]])</f>
        <v>291</v>
      </c>
      <c r="C111" t="s">
        <v>14</v>
      </c>
      <c r="D111">
        <f>HEX2DEC(Tabela1[[#This Row],[ecpriIDstr]])</f>
        <v>41120</v>
      </c>
      <c r="E111">
        <v>0</v>
      </c>
      <c r="F111">
        <v>2</v>
      </c>
      <c r="G111">
        <v>0</v>
      </c>
      <c r="H111">
        <v>109</v>
      </c>
      <c r="I111">
        <v>1</v>
      </c>
      <c r="J111">
        <v>0</v>
      </c>
      <c r="K111">
        <v>1</v>
      </c>
      <c r="L111">
        <v>1</v>
      </c>
      <c r="M111">
        <v>1</v>
      </c>
    </row>
    <row r="112" spans="1:13" x14ac:dyDescent="0.25">
      <c r="A112">
        <v>123</v>
      </c>
      <c r="B112">
        <f>HEX2DEC(Tabela1[[#This Row],[VLANStr]])</f>
        <v>291</v>
      </c>
      <c r="C112" t="s">
        <v>14</v>
      </c>
      <c r="D112">
        <f>HEX2DEC(Tabela1[[#This Row],[ecpriIDstr]])</f>
        <v>41120</v>
      </c>
      <c r="E112">
        <v>0</v>
      </c>
      <c r="F112">
        <v>2</v>
      </c>
      <c r="G112">
        <v>0</v>
      </c>
      <c r="H112">
        <v>110</v>
      </c>
      <c r="I112">
        <v>1</v>
      </c>
      <c r="J112">
        <v>0</v>
      </c>
      <c r="K112">
        <v>1</v>
      </c>
      <c r="L112">
        <v>1</v>
      </c>
      <c r="M112">
        <v>1</v>
      </c>
    </row>
    <row r="113" spans="1:13" x14ac:dyDescent="0.25">
      <c r="A113">
        <v>123</v>
      </c>
      <c r="B113">
        <f>HEX2DEC(Tabela1[[#This Row],[VLANStr]])</f>
        <v>291</v>
      </c>
      <c r="C113" t="s">
        <v>14</v>
      </c>
      <c r="D113">
        <f>HEX2DEC(Tabela1[[#This Row],[ecpriIDstr]])</f>
        <v>41120</v>
      </c>
      <c r="E113">
        <v>0</v>
      </c>
      <c r="F113">
        <v>2</v>
      </c>
      <c r="G113">
        <v>0</v>
      </c>
      <c r="H113">
        <v>111</v>
      </c>
      <c r="I113">
        <v>1</v>
      </c>
      <c r="J113">
        <v>0</v>
      </c>
      <c r="K113">
        <v>1</v>
      </c>
      <c r="L113">
        <v>1</v>
      </c>
      <c r="M113">
        <v>1</v>
      </c>
    </row>
    <row r="114" spans="1:13" x14ac:dyDescent="0.25">
      <c r="A114">
        <v>123</v>
      </c>
      <c r="B114">
        <f>HEX2DEC(Tabela1[[#This Row],[VLANStr]])</f>
        <v>291</v>
      </c>
      <c r="C114" t="s">
        <v>14</v>
      </c>
      <c r="D114">
        <f>HEX2DEC(Tabela1[[#This Row],[ecpriIDstr]])</f>
        <v>41120</v>
      </c>
      <c r="E114">
        <v>0</v>
      </c>
      <c r="F114">
        <v>2</v>
      </c>
      <c r="G114">
        <v>0</v>
      </c>
      <c r="H114">
        <v>112</v>
      </c>
      <c r="I114">
        <v>1</v>
      </c>
      <c r="J114">
        <v>0</v>
      </c>
      <c r="K114">
        <v>1</v>
      </c>
      <c r="L114">
        <v>1</v>
      </c>
      <c r="M114">
        <v>1</v>
      </c>
    </row>
    <row r="115" spans="1:13" x14ac:dyDescent="0.25">
      <c r="A115">
        <v>123</v>
      </c>
      <c r="B115">
        <f>HEX2DEC(Tabela1[[#This Row],[VLANStr]])</f>
        <v>291</v>
      </c>
      <c r="C115" t="s">
        <v>14</v>
      </c>
      <c r="D115">
        <f>HEX2DEC(Tabela1[[#This Row],[ecpriIDstr]])</f>
        <v>41120</v>
      </c>
      <c r="E115">
        <v>0</v>
      </c>
      <c r="F115">
        <v>2</v>
      </c>
      <c r="G115">
        <v>0</v>
      </c>
      <c r="H115">
        <v>113</v>
      </c>
      <c r="I115">
        <v>1</v>
      </c>
      <c r="J115">
        <v>0</v>
      </c>
      <c r="K115">
        <v>1</v>
      </c>
      <c r="L115">
        <v>1</v>
      </c>
      <c r="M115">
        <v>1</v>
      </c>
    </row>
    <row r="116" spans="1:13" x14ac:dyDescent="0.25">
      <c r="A116">
        <v>123</v>
      </c>
      <c r="B116">
        <f>HEX2DEC(Tabela1[[#This Row],[VLANStr]])</f>
        <v>291</v>
      </c>
      <c r="C116" t="s">
        <v>14</v>
      </c>
      <c r="D116">
        <f>HEX2DEC(Tabela1[[#This Row],[ecpriIDstr]])</f>
        <v>41120</v>
      </c>
      <c r="E116">
        <v>0</v>
      </c>
      <c r="F116">
        <v>2</v>
      </c>
      <c r="G116">
        <v>0</v>
      </c>
      <c r="H116">
        <v>114</v>
      </c>
      <c r="I116">
        <v>1</v>
      </c>
      <c r="J116">
        <v>0</v>
      </c>
      <c r="K116">
        <v>1</v>
      </c>
      <c r="L116">
        <v>1</v>
      </c>
      <c r="M116">
        <v>1</v>
      </c>
    </row>
    <row r="117" spans="1:13" x14ac:dyDescent="0.25">
      <c r="A117">
        <v>123</v>
      </c>
      <c r="B117">
        <f>HEX2DEC(Tabela1[[#This Row],[VLANStr]])</f>
        <v>291</v>
      </c>
      <c r="C117" t="s">
        <v>14</v>
      </c>
      <c r="D117">
        <f>HEX2DEC(Tabela1[[#This Row],[ecpriIDstr]])</f>
        <v>41120</v>
      </c>
      <c r="E117">
        <v>0</v>
      </c>
      <c r="F117">
        <v>2</v>
      </c>
      <c r="G117">
        <v>0</v>
      </c>
      <c r="H117">
        <v>115</v>
      </c>
      <c r="I117">
        <v>1</v>
      </c>
      <c r="J117">
        <v>0</v>
      </c>
      <c r="K117">
        <v>1</v>
      </c>
      <c r="L117">
        <v>1</v>
      </c>
      <c r="M117">
        <v>1</v>
      </c>
    </row>
    <row r="118" spans="1:13" x14ac:dyDescent="0.25">
      <c r="A118">
        <v>123</v>
      </c>
      <c r="B118">
        <f>HEX2DEC(Tabela1[[#This Row],[VLANStr]])</f>
        <v>291</v>
      </c>
      <c r="C118" t="s">
        <v>14</v>
      </c>
      <c r="D118">
        <f>HEX2DEC(Tabela1[[#This Row],[ecpriIDstr]])</f>
        <v>41120</v>
      </c>
      <c r="E118">
        <v>0</v>
      </c>
      <c r="F118">
        <v>2</v>
      </c>
      <c r="G118">
        <v>0</v>
      </c>
      <c r="H118">
        <v>116</v>
      </c>
      <c r="I118">
        <v>1</v>
      </c>
      <c r="J118">
        <v>0</v>
      </c>
      <c r="K118">
        <v>1</v>
      </c>
      <c r="L118">
        <v>1</v>
      </c>
      <c r="M118">
        <v>1</v>
      </c>
    </row>
    <row r="119" spans="1:13" x14ac:dyDescent="0.25">
      <c r="A119">
        <v>123</v>
      </c>
      <c r="B119">
        <f>HEX2DEC(Tabela1[[#This Row],[VLANStr]])</f>
        <v>291</v>
      </c>
      <c r="C119" t="s">
        <v>14</v>
      </c>
      <c r="D119">
        <f>HEX2DEC(Tabela1[[#This Row],[ecpriIDstr]])</f>
        <v>41120</v>
      </c>
      <c r="E119">
        <v>0</v>
      </c>
      <c r="F119">
        <v>2</v>
      </c>
      <c r="G119">
        <v>0</v>
      </c>
      <c r="H119">
        <v>117</v>
      </c>
      <c r="I119">
        <v>1</v>
      </c>
      <c r="J119">
        <v>0</v>
      </c>
      <c r="K119">
        <v>1</v>
      </c>
      <c r="L119">
        <v>1</v>
      </c>
      <c r="M119">
        <v>1</v>
      </c>
    </row>
    <row r="120" spans="1:13" x14ac:dyDescent="0.25">
      <c r="A120">
        <v>123</v>
      </c>
      <c r="B120">
        <f>HEX2DEC(Tabela1[[#This Row],[VLANStr]])</f>
        <v>291</v>
      </c>
      <c r="C120" t="s">
        <v>14</v>
      </c>
      <c r="D120">
        <f>HEX2DEC(Tabela1[[#This Row],[ecpriIDstr]])</f>
        <v>41120</v>
      </c>
      <c r="E120">
        <v>0</v>
      </c>
      <c r="F120">
        <v>2</v>
      </c>
      <c r="G120">
        <v>0</v>
      </c>
      <c r="H120">
        <v>118</v>
      </c>
      <c r="I120">
        <v>1</v>
      </c>
      <c r="J120">
        <v>0</v>
      </c>
      <c r="K120">
        <v>1</v>
      </c>
      <c r="L120">
        <v>1</v>
      </c>
      <c r="M120">
        <v>1</v>
      </c>
    </row>
    <row r="121" spans="1:13" x14ac:dyDescent="0.25">
      <c r="A121">
        <v>123</v>
      </c>
      <c r="B121">
        <f>HEX2DEC(Tabela1[[#This Row],[VLANStr]])</f>
        <v>291</v>
      </c>
      <c r="C121" t="s">
        <v>14</v>
      </c>
      <c r="D121">
        <f>HEX2DEC(Tabela1[[#This Row],[ecpriIDstr]])</f>
        <v>41120</v>
      </c>
      <c r="E121">
        <v>0</v>
      </c>
      <c r="F121">
        <v>2</v>
      </c>
      <c r="G121">
        <v>0</v>
      </c>
      <c r="H121">
        <v>119</v>
      </c>
      <c r="I121">
        <v>1</v>
      </c>
      <c r="J121">
        <v>0</v>
      </c>
      <c r="K121">
        <v>1</v>
      </c>
      <c r="L121">
        <v>1</v>
      </c>
      <c r="M121">
        <v>1</v>
      </c>
    </row>
    <row r="122" spans="1:13" x14ac:dyDescent="0.25">
      <c r="A122">
        <v>123</v>
      </c>
      <c r="B122">
        <f>HEX2DEC(Tabela1[[#This Row],[VLANStr]])</f>
        <v>291</v>
      </c>
      <c r="C122" t="s">
        <v>14</v>
      </c>
      <c r="D122">
        <f>HEX2DEC(Tabela1[[#This Row],[ecpriIDstr]])</f>
        <v>41120</v>
      </c>
      <c r="E122">
        <v>0</v>
      </c>
      <c r="F122">
        <v>2</v>
      </c>
      <c r="G122">
        <v>0</v>
      </c>
      <c r="H122">
        <v>120</v>
      </c>
      <c r="I122">
        <v>1</v>
      </c>
      <c r="J122">
        <v>0</v>
      </c>
      <c r="K122">
        <v>1</v>
      </c>
      <c r="L122">
        <v>1</v>
      </c>
      <c r="M122">
        <v>1</v>
      </c>
    </row>
    <row r="123" spans="1:13" x14ac:dyDescent="0.25">
      <c r="A123">
        <v>123</v>
      </c>
      <c r="B123">
        <f>HEX2DEC(Tabela1[[#This Row],[VLANStr]])</f>
        <v>291</v>
      </c>
      <c r="C123" t="s">
        <v>14</v>
      </c>
      <c r="D123">
        <f>HEX2DEC(Tabela1[[#This Row],[ecpriIDstr]])</f>
        <v>41120</v>
      </c>
      <c r="E123">
        <v>0</v>
      </c>
      <c r="F123">
        <v>2</v>
      </c>
      <c r="G123">
        <v>0</v>
      </c>
      <c r="H123">
        <v>121</v>
      </c>
      <c r="I123">
        <v>1</v>
      </c>
      <c r="J123">
        <v>0</v>
      </c>
      <c r="K123">
        <v>1</v>
      </c>
      <c r="L123">
        <v>1</v>
      </c>
      <c r="M123">
        <v>1</v>
      </c>
    </row>
    <row r="124" spans="1:13" x14ac:dyDescent="0.25">
      <c r="A124">
        <v>123</v>
      </c>
      <c r="B124">
        <f>HEX2DEC(Tabela1[[#This Row],[VLANStr]])</f>
        <v>291</v>
      </c>
      <c r="C124" t="s">
        <v>14</v>
      </c>
      <c r="D124">
        <f>HEX2DEC(Tabela1[[#This Row],[ecpriIDstr]])</f>
        <v>41120</v>
      </c>
      <c r="E124">
        <v>0</v>
      </c>
      <c r="F124">
        <v>2</v>
      </c>
      <c r="G124">
        <v>0</v>
      </c>
      <c r="H124">
        <v>122</v>
      </c>
      <c r="I124">
        <v>1</v>
      </c>
      <c r="J124">
        <v>0</v>
      </c>
      <c r="K124">
        <v>1</v>
      </c>
      <c r="L124">
        <v>1</v>
      </c>
      <c r="M124">
        <v>1</v>
      </c>
    </row>
    <row r="125" spans="1:13" x14ac:dyDescent="0.25">
      <c r="A125">
        <v>123</v>
      </c>
      <c r="B125">
        <f>HEX2DEC(Tabela1[[#This Row],[VLANStr]])</f>
        <v>291</v>
      </c>
      <c r="C125" t="s">
        <v>14</v>
      </c>
      <c r="D125">
        <f>HEX2DEC(Tabela1[[#This Row],[ecpriIDstr]])</f>
        <v>41120</v>
      </c>
      <c r="E125">
        <v>0</v>
      </c>
      <c r="F125">
        <v>2</v>
      </c>
      <c r="G125">
        <v>0</v>
      </c>
      <c r="H125">
        <v>123</v>
      </c>
      <c r="I125">
        <v>1</v>
      </c>
      <c r="J125">
        <v>0</v>
      </c>
      <c r="K125">
        <v>1</v>
      </c>
      <c r="L125">
        <v>1</v>
      </c>
      <c r="M125">
        <v>1</v>
      </c>
    </row>
    <row r="126" spans="1:13" x14ac:dyDescent="0.25">
      <c r="A126">
        <v>123</v>
      </c>
      <c r="B126">
        <f>HEX2DEC(Tabela1[[#This Row],[VLANStr]])</f>
        <v>291</v>
      </c>
      <c r="C126" t="s">
        <v>14</v>
      </c>
      <c r="D126">
        <f>HEX2DEC(Tabela1[[#This Row],[ecpriIDstr]])</f>
        <v>41120</v>
      </c>
      <c r="E126">
        <v>0</v>
      </c>
      <c r="F126">
        <v>2</v>
      </c>
      <c r="G126">
        <v>0</v>
      </c>
      <c r="H126">
        <v>124</v>
      </c>
      <c r="I126">
        <v>1</v>
      </c>
      <c r="J126">
        <v>0</v>
      </c>
      <c r="K126">
        <v>1</v>
      </c>
      <c r="L126">
        <v>1</v>
      </c>
      <c r="M126">
        <v>1</v>
      </c>
    </row>
    <row r="127" spans="1:13" x14ac:dyDescent="0.25">
      <c r="A127">
        <v>123</v>
      </c>
      <c r="B127">
        <f>HEX2DEC(Tabela1[[#This Row],[VLANStr]])</f>
        <v>291</v>
      </c>
      <c r="C127" t="s">
        <v>14</v>
      </c>
      <c r="D127">
        <f>HEX2DEC(Tabela1[[#This Row],[ecpriIDstr]])</f>
        <v>41120</v>
      </c>
      <c r="E127">
        <v>0</v>
      </c>
      <c r="F127">
        <v>2</v>
      </c>
      <c r="G127">
        <v>0</v>
      </c>
      <c r="H127">
        <v>125</v>
      </c>
      <c r="I127">
        <v>1</v>
      </c>
      <c r="J127">
        <v>0</v>
      </c>
      <c r="K127">
        <v>1</v>
      </c>
      <c r="L127">
        <v>1</v>
      </c>
      <c r="M127">
        <v>1</v>
      </c>
    </row>
    <row r="128" spans="1:13" x14ac:dyDescent="0.25">
      <c r="A128">
        <v>123</v>
      </c>
      <c r="B128">
        <f>HEX2DEC(Tabela1[[#This Row],[VLANStr]])</f>
        <v>291</v>
      </c>
      <c r="C128" t="s">
        <v>14</v>
      </c>
      <c r="D128">
        <f>HEX2DEC(Tabela1[[#This Row],[ecpriIDstr]])</f>
        <v>41120</v>
      </c>
      <c r="E128">
        <v>0</v>
      </c>
      <c r="F128">
        <v>2</v>
      </c>
      <c r="G128">
        <v>0</v>
      </c>
      <c r="H128">
        <v>126</v>
      </c>
      <c r="I128">
        <v>1</v>
      </c>
      <c r="J128">
        <v>0</v>
      </c>
      <c r="K128">
        <v>1</v>
      </c>
      <c r="L128">
        <v>1</v>
      </c>
      <c r="M128">
        <v>1</v>
      </c>
    </row>
    <row r="129" spans="1:13" x14ac:dyDescent="0.25">
      <c r="A129">
        <v>123</v>
      </c>
      <c r="B129">
        <f>HEX2DEC(Tabela1[[#This Row],[VLANStr]])</f>
        <v>291</v>
      </c>
      <c r="C129" t="s">
        <v>14</v>
      </c>
      <c r="D129">
        <f>HEX2DEC(Tabela1[[#This Row],[ecpriIDstr]])</f>
        <v>41120</v>
      </c>
      <c r="E129">
        <v>0</v>
      </c>
      <c r="F129">
        <v>2</v>
      </c>
      <c r="G129">
        <v>0</v>
      </c>
      <c r="H129">
        <v>127</v>
      </c>
      <c r="I129">
        <v>1</v>
      </c>
      <c r="J129">
        <v>0</v>
      </c>
      <c r="K129">
        <v>1</v>
      </c>
      <c r="L129">
        <v>1</v>
      </c>
      <c r="M129">
        <v>1</v>
      </c>
    </row>
    <row r="130" spans="1:13" x14ac:dyDescent="0.25">
      <c r="A130">
        <v>123</v>
      </c>
      <c r="B130">
        <f>HEX2DEC(Tabela1[[#This Row],[VLANStr]])</f>
        <v>291</v>
      </c>
      <c r="C130" t="s">
        <v>14</v>
      </c>
      <c r="D130">
        <f>HEX2DEC(Tabela1[[#This Row],[ecpriIDstr]])</f>
        <v>41120</v>
      </c>
      <c r="E130">
        <v>0</v>
      </c>
      <c r="F130">
        <v>2</v>
      </c>
      <c r="G130">
        <v>0</v>
      </c>
      <c r="H130">
        <v>128</v>
      </c>
      <c r="I130">
        <v>1</v>
      </c>
      <c r="J130">
        <v>0</v>
      </c>
      <c r="K130">
        <v>1</v>
      </c>
      <c r="L130">
        <v>1</v>
      </c>
      <c r="M130">
        <v>1</v>
      </c>
    </row>
    <row r="131" spans="1:13" x14ac:dyDescent="0.25">
      <c r="A131">
        <v>123</v>
      </c>
      <c r="B131">
        <f>HEX2DEC(Tabela1[[#This Row],[VLANStr]])</f>
        <v>291</v>
      </c>
      <c r="C131" t="s">
        <v>14</v>
      </c>
      <c r="D131">
        <f>HEX2DEC(Tabela1[[#This Row],[ecpriIDstr]])</f>
        <v>41120</v>
      </c>
      <c r="E131">
        <v>0</v>
      </c>
      <c r="F131">
        <v>2</v>
      </c>
      <c r="G131">
        <v>0</v>
      </c>
      <c r="H131">
        <v>129</v>
      </c>
      <c r="I131">
        <v>1</v>
      </c>
      <c r="J131">
        <v>0</v>
      </c>
      <c r="K131">
        <v>1</v>
      </c>
      <c r="L131">
        <v>1</v>
      </c>
      <c r="M131">
        <v>1</v>
      </c>
    </row>
    <row r="132" spans="1:13" x14ac:dyDescent="0.25">
      <c r="A132">
        <v>123</v>
      </c>
      <c r="B132">
        <f>HEX2DEC(Tabela1[[#This Row],[VLANStr]])</f>
        <v>291</v>
      </c>
      <c r="C132" t="s">
        <v>14</v>
      </c>
      <c r="D132">
        <f>HEX2DEC(Tabela1[[#This Row],[ecpriIDstr]])</f>
        <v>41120</v>
      </c>
      <c r="E132">
        <v>0</v>
      </c>
      <c r="F132">
        <v>2</v>
      </c>
      <c r="G132">
        <v>0</v>
      </c>
      <c r="H132">
        <v>130</v>
      </c>
      <c r="I132">
        <v>1</v>
      </c>
      <c r="J132">
        <v>0</v>
      </c>
      <c r="K132">
        <v>1</v>
      </c>
      <c r="L132">
        <v>1</v>
      </c>
      <c r="M132">
        <v>1</v>
      </c>
    </row>
    <row r="133" spans="1:13" x14ac:dyDescent="0.25">
      <c r="A133">
        <v>123</v>
      </c>
      <c r="B133">
        <f>HEX2DEC(Tabela1[[#This Row],[VLANStr]])</f>
        <v>291</v>
      </c>
      <c r="C133" t="s">
        <v>14</v>
      </c>
      <c r="D133">
        <f>HEX2DEC(Tabela1[[#This Row],[ecpriIDstr]])</f>
        <v>41120</v>
      </c>
      <c r="E133">
        <v>0</v>
      </c>
      <c r="F133">
        <v>2</v>
      </c>
      <c r="G133">
        <v>0</v>
      </c>
      <c r="H133">
        <v>131</v>
      </c>
      <c r="I133">
        <v>1</v>
      </c>
      <c r="J133">
        <v>0</v>
      </c>
      <c r="K133">
        <v>1</v>
      </c>
      <c r="L133">
        <v>1</v>
      </c>
      <c r="M133">
        <v>1</v>
      </c>
    </row>
    <row r="134" spans="1:13" x14ac:dyDescent="0.25">
      <c r="A134">
        <v>123</v>
      </c>
      <c r="B134">
        <f>HEX2DEC(Tabela1[[#This Row],[VLANStr]])</f>
        <v>291</v>
      </c>
      <c r="C134" t="s">
        <v>14</v>
      </c>
      <c r="D134">
        <f>HEX2DEC(Tabela1[[#This Row],[ecpriIDstr]])</f>
        <v>41120</v>
      </c>
      <c r="E134">
        <v>0</v>
      </c>
      <c r="F134">
        <v>2</v>
      </c>
      <c r="G134">
        <v>0</v>
      </c>
      <c r="H134">
        <v>132</v>
      </c>
      <c r="I134">
        <v>1</v>
      </c>
      <c r="J134">
        <v>0</v>
      </c>
      <c r="K134">
        <v>1</v>
      </c>
      <c r="L134">
        <v>1</v>
      </c>
      <c r="M134">
        <v>1</v>
      </c>
    </row>
    <row r="135" spans="1:13" x14ac:dyDescent="0.25">
      <c r="A135">
        <v>123</v>
      </c>
      <c r="B135">
        <f>HEX2DEC(Tabela1[[#This Row],[VLANStr]])</f>
        <v>291</v>
      </c>
      <c r="C135" t="s">
        <v>14</v>
      </c>
      <c r="D135">
        <f>HEX2DEC(Tabela1[[#This Row],[ecpriIDstr]])</f>
        <v>41120</v>
      </c>
      <c r="E135">
        <v>0</v>
      </c>
      <c r="F135">
        <v>2</v>
      </c>
      <c r="G135">
        <v>0</v>
      </c>
      <c r="H135">
        <v>133</v>
      </c>
      <c r="I135">
        <v>1</v>
      </c>
      <c r="J135">
        <v>0</v>
      </c>
      <c r="K135">
        <v>1</v>
      </c>
      <c r="L135">
        <v>1</v>
      </c>
      <c r="M135">
        <v>1</v>
      </c>
    </row>
    <row r="136" spans="1:13" x14ac:dyDescent="0.25">
      <c r="A136">
        <v>123</v>
      </c>
      <c r="B136">
        <f>HEX2DEC(Tabela1[[#This Row],[VLANStr]])</f>
        <v>291</v>
      </c>
      <c r="C136" t="s">
        <v>14</v>
      </c>
      <c r="D136">
        <f>HEX2DEC(Tabela1[[#This Row],[ecpriIDstr]])</f>
        <v>41120</v>
      </c>
      <c r="E136">
        <v>0</v>
      </c>
      <c r="F136">
        <v>2</v>
      </c>
      <c r="G136">
        <v>0</v>
      </c>
      <c r="H136">
        <v>134</v>
      </c>
      <c r="I136">
        <v>1</v>
      </c>
      <c r="J136">
        <v>0</v>
      </c>
      <c r="K136">
        <v>1</v>
      </c>
      <c r="L136">
        <v>1</v>
      </c>
      <c r="M136">
        <v>1</v>
      </c>
    </row>
    <row r="137" spans="1:13" x14ac:dyDescent="0.25">
      <c r="A137">
        <v>123</v>
      </c>
      <c r="B137">
        <f>HEX2DEC(Tabela1[[#This Row],[VLANStr]])</f>
        <v>291</v>
      </c>
      <c r="C137" t="s">
        <v>14</v>
      </c>
      <c r="D137">
        <f>HEX2DEC(Tabela1[[#This Row],[ecpriIDstr]])</f>
        <v>41120</v>
      </c>
      <c r="E137">
        <v>0</v>
      </c>
      <c r="F137">
        <v>2</v>
      </c>
      <c r="G137">
        <v>0</v>
      </c>
      <c r="H137">
        <v>135</v>
      </c>
      <c r="I137">
        <v>1</v>
      </c>
      <c r="J137">
        <v>0</v>
      </c>
      <c r="K137">
        <v>1</v>
      </c>
      <c r="L137">
        <v>1</v>
      </c>
      <c r="M137">
        <v>1</v>
      </c>
    </row>
    <row r="138" spans="1:13" x14ac:dyDescent="0.25">
      <c r="A138">
        <v>123</v>
      </c>
      <c r="B138">
        <f>HEX2DEC(Tabela1[[#This Row],[VLANStr]])</f>
        <v>291</v>
      </c>
      <c r="C138" t="s">
        <v>14</v>
      </c>
      <c r="D138">
        <f>HEX2DEC(Tabela1[[#This Row],[ecpriIDstr]])</f>
        <v>41120</v>
      </c>
      <c r="E138">
        <v>0</v>
      </c>
      <c r="F138">
        <v>2</v>
      </c>
      <c r="G138">
        <v>0</v>
      </c>
      <c r="H138">
        <v>136</v>
      </c>
      <c r="I138">
        <v>1</v>
      </c>
      <c r="J138">
        <v>0</v>
      </c>
      <c r="K138">
        <v>1</v>
      </c>
      <c r="L138">
        <v>1</v>
      </c>
      <c r="M138">
        <v>1</v>
      </c>
    </row>
    <row r="139" spans="1:13" x14ac:dyDescent="0.25">
      <c r="A139">
        <v>123</v>
      </c>
      <c r="B139">
        <f>HEX2DEC(Tabela1[[#This Row],[VLANStr]])</f>
        <v>291</v>
      </c>
      <c r="C139" t="s">
        <v>14</v>
      </c>
      <c r="D139">
        <f>HEX2DEC(Tabela1[[#This Row],[ecpriIDstr]])</f>
        <v>41120</v>
      </c>
      <c r="E139">
        <v>0</v>
      </c>
      <c r="F139">
        <v>2</v>
      </c>
      <c r="G139">
        <v>0</v>
      </c>
      <c r="H139">
        <v>137</v>
      </c>
      <c r="I139">
        <v>1</v>
      </c>
      <c r="J139">
        <v>0</v>
      </c>
      <c r="K139">
        <v>1</v>
      </c>
      <c r="L139">
        <v>1</v>
      </c>
      <c r="M139">
        <v>1</v>
      </c>
    </row>
    <row r="140" spans="1:13" x14ac:dyDescent="0.25">
      <c r="A140">
        <v>123</v>
      </c>
      <c r="B140">
        <f>HEX2DEC(Tabela1[[#This Row],[VLANStr]])</f>
        <v>291</v>
      </c>
      <c r="C140" t="s">
        <v>14</v>
      </c>
      <c r="D140">
        <f>HEX2DEC(Tabela1[[#This Row],[ecpriIDstr]])</f>
        <v>41120</v>
      </c>
      <c r="E140">
        <v>0</v>
      </c>
      <c r="F140">
        <v>2</v>
      </c>
      <c r="G140">
        <v>0</v>
      </c>
      <c r="H140">
        <v>138</v>
      </c>
      <c r="I140">
        <v>1</v>
      </c>
      <c r="J140">
        <v>0</v>
      </c>
      <c r="K140">
        <v>1</v>
      </c>
      <c r="L140">
        <v>1</v>
      </c>
      <c r="M140">
        <v>1</v>
      </c>
    </row>
    <row r="141" spans="1:13" x14ac:dyDescent="0.25">
      <c r="A141">
        <v>123</v>
      </c>
      <c r="B141">
        <f>HEX2DEC(Tabela1[[#This Row],[VLANStr]])</f>
        <v>291</v>
      </c>
      <c r="C141" t="s">
        <v>14</v>
      </c>
      <c r="D141">
        <f>HEX2DEC(Tabela1[[#This Row],[ecpriIDstr]])</f>
        <v>41120</v>
      </c>
      <c r="E141">
        <v>0</v>
      </c>
      <c r="F141">
        <v>2</v>
      </c>
      <c r="G141">
        <v>0</v>
      </c>
      <c r="H141">
        <v>139</v>
      </c>
      <c r="I141">
        <v>1</v>
      </c>
      <c r="J141">
        <v>0</v>
      </c>
      <c r="K141">
        <v>1</v>
      </c>
      <c r="L141">
        <v>1</v>
      </c>
      <c r="M141">
        <v>1</v>
      </c>
    </row>
    <row r="142" spans="1:13" x14ac:dyDescent="0.25">
      <c r="A142">
        <v>123</v>
      </c>
      <c r="B142">
        <f>HEX2DEC(Tabela1[[#This Row],[VLANStr]])</f>
        <v>291</v>
      </c>
      <c r="C142" t="s">
        <v>14</v>
      </c>
      <c r="D142">
        <f>HEX2DEC(Tabela1[[#This Row],[ecpriIDstr]])</f>
        <v>41120</v>
      </c>
      <c r="E142">
        <v>0</v>
      </c>
      <c r="F142">
        <v>2</v>
      </c>
      <c r="G142">
        <v>0</v>
      </c>
      <c r="H142">
        <v>140</v>
      </c>
      <c r="I142">
        <v>1</v>
      </c>
      <c r="J142">
        <v>0</v>
      </c>
      <c r="K142">
        <v>1</v>
      </c>
      <c r="L142">
        <v>1</v>
      </c>
      <c r="M142">
        <v>1</v>
      </c>
    </row>
    <row r="143" spans="1:13" x14ac:dyDescent="0.25">
      <c r="A143">
        <v>123</v>
      </c>
      <c r="B143">
        <f>HEX2DEC(Tabela1[[#This Row],[VLANStr]])</f>
        <v>291</v>
      </c>
      <c r="C143" t="s">
        <v>14</v>
      </c>
      <c r="D143">
        <f>HEX2DEC(Tabela1[[#This Row],[ecpriIDstr]])</f>
        <v>41120</v>
      </c>
      <c r="E143">
        <v>0</v>
      </c>
      <c r="F143">
        <v>2</v>
      </c>
      <c r="G143">
        <v>0</v>
      </c>
      <c r="H143">
        <v>141</v>
      </c>
      <c r="I143">
        <v>1</v>
      </c>
      <c r="J143">
        <v>0</v>
      </c>
      <c r="K143">
        <v>1</v>
      </c>
      <c r="L143">
        <v>1</v>
      </c>
      <c r="M143">
        <v>1</v>
      </c>
    </row>
    <row r="144" spans="1:13" x14ac:dyDescent="0.25">
      <c r="A144">
        <v>123</v>
      </c>
      <c r="B144">
        <f>HEX2DEC(Tabela1[[#This Row],[VLANStr]])</f>
        <v>291</v>
      </c>
      <c r="C144" t="s">
        <v>14</v>
      </c>
      <c r="D144">
        <f>HEX2DEC(Tabela1[[#This Row],[ecpriIDstr]])</f>
        <v>41120</v>
      </c>
      <c r="E144">
        <v>0</v>
      </c>
      <c r="F144">
        <v>2</v>
      </c>
      <c r="G144">
        <v>0</v>
      </c>
      <c r="H144">
        <v>142</v>
      </c>
      <c r="I144">
        <v>1</v>
      </c>
      <c r="J144">
        <v>0</v>
      </c>
      <c r="K144">
        <v>1</v>
      </c>
      <c r="L144">
        <v>1</v>
      </c>
      <c r="M144">
        <v>1</v>
      </c>
    </row>
    <row r="145" spans="1:13" x14ac:dyDescent="0.25">
      <c r="A145">
        <v>123</v>
      </c>
      <c r="B145">
        <f>HEX2DEC(Tabela1[[#This Row],[VLANStr]])</f>
        <v>291</v>
      </c>
      <c r="C145" t="s">
        <v>14</v>
      </c>
      <c r="D145">
        <f>HEX2DEC(Tabela1[[#This Row],[ecpriIDstr]])</f>
        <v>41120</v>
      </c>
      <c r="E145">
        <v>0</v>
      </c>
      <c r="F145">
        <v>2</v>
      </c>
      <c r="G145">
        <v>0</v>
      </c>
      <c r="H145">
        <v>143</v>
      </c>
      <c r="I145">
        <v>1</v>
      </c>
      <c r="J145">
        <v>0</v>
      </c>
      <c r="K145">
        <v>1</v>
      </c>
      <c r="L145">
        <v>1</v>
      </c>
      <c r="M145">
        <v>1</v>
      </c>
    </row>
    <row r="146" spans="1:13" x14ac:dyDescent="0.25">
      <c r="A146">
        <v>123</v>
      </c>
      <c r="B146">
        <f>HEX2DEC(Tabela1[[#This Row],[VLANStr]])</f>
        <v>291</v>
      </c>
      <c r="C146" t="s">
        <v>14</v>
      </c>
      <c r="D146">
        <f>HEX2DEC(Tabela1[[#This Row],[ecpriIDstr]])</f>
        <v>41120</v>
      </c>
      <c r="E146">
        <v>0</v>
      </c>
      <c r="F146">
        <v>2</v>
      </c>
      <c r="G146">
        <v>0</v>
      </c>
      <c r="H146">
        <v>144</v>
      </c>
      <c r="I146">
        <v>1</v>
      </c>
      <c r="J146">
        <v>0</v>
      </c>
      <c r="K146">
        <v>1</v>
      </c>
      <c r="L146">
        <v>1</v>
      </c>
      <c r="M146">
        <v>1</v>
      </c>
    </row>
    <row r="147" spans="1:13" x14ac:dyDescent="0.25">
      <c r="A147">
        <v>123</v>
      </c>
      <c r="B147">
        <f>HEX2DEC(Tabela1[[#This Row],[VLANStr]])</f>
        <v>291</v>
      </c>
      <c r="C147" t="s">
        <v>14</v>
      </c>
      <c r="D147">
        <f>HEX2DEC(Tabela1[[#This Row],[ecpriIDstr]])</f>
        <v>41120</v>
      </c>
      <c r="E147">
        <v>0</v>
      </c>
      <c r="F147">
        <v>2</v>
      </c>
      <c r="G147">
        <v>0</v>
      </c>
      <c r="H147">
        <v>145</v>
      </c>
      <c r="I147">
        <v>1</v>
      </c>
      <c r="J147">
        <v>0</v>
      </c>
      <c r="K147">
        <v>1</v>
      </c>
      <c r="L147">
        <v>1</v>
      </c>
      <c r="M147">
        <v>1</v>
      </c>
    </row>
    <row r="148" spans="1:13" x14ac:dyDescent="0.25">
      <c r="A148">
        <v>123</v>
      </c>
      <c r="B148">
        <f>HEX2DEC(Tabela1[[#This Row],[VLANStr]])</f>
        <v>291</v>
      </c>
      <c r="C148" t="s">
        <v>14</v>
      </c>
      <c r="D148">
        <f>HEX2DEC(Tabela1[[#This Row],[ecpriIDstr]])</f>
        <v>41120</v>
      </c>
      <c r="E148">
        <v>0</v>
      </c>
      <c r="F148">
        <v>2</v>
      </c>
      <c r="G148">
        <v>0</v>
      </c>
      <c r="H148">
        <v>146</v>
      </c>
      <c r="I148">
        <v>1</v>
      </c>
      <c r="J148">
        <v>0</v>
      </c>
      <c r="K148">
        <v>1</v>
      </c>
      <c r="L148">
        <v>1</v>
      </c>
      <c r="M148">
        <v>1</v>
      </c>
    </row>
    <row r="149" spans="1:13" x14ac:dyDescent="0.25">
      <c r="A149">
        <v>123</v>
      </c>
      <c r="B149">
        <f>HEX2DEC(Tabela1[[#This Row],[VLANStr]])</f>
        <v>291</v>
      </c>
      <c r="C149" t="s">
        <v>14</v>
      </c>
      <c r="D149">
        <f>HEX2DEC(Tabela1[[#This Row],[ecpriIDstr]])</f>
        <v>41120</v>
      </c>
      <c r="E149">
        <v>0</v>
      </c>
      <c r="F149">
        <v>2</v>
      </c>
      <c r="G149">
        <v>0</v>
      </c>
      <c r="H149">
        <v>147</v>
      </c>
      <c r="I149">
        <v>1</v>
      </c>
      <c r="J149">
        <v>0</v>
      </c>
      <c r="K149">
        <v>1</v>
      </c>
      <c r="L149">
        <v>1</v>
      </c>
      <c r="M149">
        <v>1</v>
      </c>
    </row>
    <row r="150" spans="1:13" x14ac:dyDescent="0.25">
      <c r="A150">
        <v>123</v>
      </c>
      <c r="B150">
        <f>HEX2DEC(Tabela1[[#This Row],[VLANStr]])</f>
        <v>291</v>
      </c>
      <c r="C150" t="s">
        <v>14</v>
      </c>
      <c r="D150">
        <f>HEX2DEC(Tabela1[[#This Row],[ecpriIDstr]])</f>
        <v>41120</v>
      </c>
      <c r="E150">
        <v>0</v>
      </c>
      <c r="F150">
        <v>2</v>
      </c>
      <c r="G150">
        <v>0</v>
      </c>
      <c r="H150">
        <v>148</v>
      </c>
      <c r="I150">
        <v>1</v>
      </c>
      <c r="J150">
        <v>0</v>
      </c>
      <c r="K150">
        <v>1</v>
      </c>
      <c r="L150">
        <v>1</v>
      </c>
      <c r="M150">
        <v>1</v>
      </c>
    </row>
    <row r="151" spans="1:13" x14ac:dyDescent="0.25">
      <c r="A151">
        <v>123</v>
      </c>
      <c r="B151">
        <f>HEX2DEC(Tabela1[[#This Row],[VLANStr]])</f>
        <v>291</v>
      </c>
      <c r="C151" t="s">
        <v>14</v>
      </c>
      <c r="D151">
        <f>HEX2DEC(Tabela1[[#This Row],[ecpriIDstr]])</f>
        <v>41120</v>
      </c>
      <c r="E151">
        <v>0</v>
      </c>
      <c r="F151">
        <v>2</v>
      </c>
      <c r="G151">
        <v>0</v>
      </c>
      <c r="H151">
        <v>149</v>
      </c>
      <c r="I151">
        <v>1</v>
      </c>
      <c r="J151">
        <v>0</v>
      </c>
      <c r="K151">
        <v>1</v>
      </c>
      <c r="L151">
        <v>1</v>
      </c>
      <c r="M151">
        <v>1</v>
      </c>
    </row>
    <row r="152" spans="1:13" x14ac:dyDescent="0.25">
      <c r="A152">
        <v>123</v>
      </c>
      <c r="B152">
        <f>HEX2DEC(Tabela1[[#This Row],[VLANStr]])</f>
        <v>291</v>
      </c>
      <c r="C152" t="s">
        <v>14</v>
      </c>
      <c r="D152">
        <f>HEX2DEC(Tabela1[[#This Row],[ecpriIDstr]])</f>
        <v>41120</v>
      </c>
      <c r="E152">
        <v>0</v>
      </c>
      <c r="F152">
        <v>2</v>
      </c>
      <c r="G152">
        <v>0</v>
      </c>
      <c r="H152">
        <v>150</v>
      </c>
      <c r="I152">
        <v>1</v>
      </c>
      <c r="J152">
        <v>0</v>
      </c>
      <c r="K152">
        <v>1</v>
      </c>
      <c r="L152">
        <v>1</v>
      </c>
      <c r="M152">
        <v>1</v>
      </c>
    </row>
    <row r="153" spans="1:13" x14ac:dyDescent="0.25">
      <c r="A153">
        <v>123</v>
      </c>
      <c r="B153">
        <f>HEX2DEC(Tabela1[[#This Row],[VLANStr]])</f>
        <v>291</v>
      </c>
      <c r="C153" t="s">
        <v>14</v>
      </c>
      <c r="D153">
        <f>HEX2DEC(Tabela1[[#This Row],[ecpriIDstr]])</f>
        <v>41120</v>
      </c>
      <c r="E153">
        <v>0</v>
      </c>
      <c r="F153">
        <v>2</v>
      </c>
      <c r="G153">
        <v>0</v>
      </c>
      <c r="H153">
        <v>151</v>
      </c>
      <c r="I153">
        <v>1</v>
      </c>
      <c r="J153">
        <v>0</v>
      </c>
      <c r="K153">
        <v>1</v>
      </c>
      <c r="L153">
        <v>1</v>
      </c>
      <c r="M153">
        <v>1</v>
      </c>
    </row>
    <row r="154" spans="1:13" x14ac:dyDescent="0.25">
      <c r="A154">
        <v>123</v>
      </c>
      <c r="B154">
        <f>HEX2DEC(Tabela1[[#This Row],[VLANStr]])</f>
        <v>291</v>
      </c>
      <c r="C154" t="s">
        <v>14</v>
      </c>
      <c r="D154">
        <f>HEX2DEC(Tabela1[[#This Row],[ecpriIDstr]])</f>
        <v>41120</v>
      </c>
      <c r="E154">
        <v>0</v>
      </c>
      <c r="F154">
        <v>2</v>
      </c>
      <c r="G154">
        <v>0</v>
      </c>
      <c r="H154">
        <v>152</v>
      </c>
      <c r="I154">
        <v>1</v>
      </c>
      <c r="J154">
        <v>0</v>
      </c>
      <c r="K154">
        <v>1</v>
      </c>
      <c r="L154">
        <v>1</v>
      </c>
      <c r="M154">
        <v>1</v>
      </c>
    </row>
    <row r="155" spans="1:13" x14ac:dyDescent="0.25">
      <c r="A155">
        <v>123</v>
      </c>
      <c r="B155">
        <f>HEX2DEC(Tabela1[[#This Row],[VLANStr]])</f>
        <v>291</v>
      </c>
      <c r="C155" t="s">
        <v>14</v>
      </c>
      <c r="D155">
        <f>HEX2DEC(Tabela1[[#This Row],[ecpriIDstr]])</f>
        <v>41120</v>
      </c>
      <c r="E155">
        <v>0</v>
      </c>
      <c r="F155">
        <v>2</v>
      </c>
      <c r="G155">
        <v>0</v>
      </c>
      <c r="H155">
        <v>153</v>
      </c>
      <c r="I155">
        <v>1</v>
      </c>
      <c r="J155">
        <v>0</v>
      </c>
      <c r="K155">
        <v>1</v>
      </c>
      <c r="L155">
        <v>1</v>
      </c>
      <c r="M155">
        <v>1</v>
      </c>
    </row>
    <row r="156" spans="1:13" x14ac:dyDescent="0.25">
      <c r="A156">
        <v>123</v>
      </c>
      <c r="B156">
        <f>HEX2DEC(Tabela1[[#This Row],[VLANStr]])</f>
        <v>291</v>
      </c>
      <c r="C156" t="s">
        <v>14</v>
      </c>
      <c r="D156">
        <f>HEX2DEC(Tabela1[[#This Row],[ecpriIDstr]])</f>
        <v>41120</v>
      </c>
      <c r="E156">
        <v>0</v>
      </c>
      <c r="F156">
        <v>2</v>
      </c>
      <c r="G156">
        <v>0</v>
      </c>
      <c r="H156">
        <v>154</v>
      </c>
      <c r="I156">
        <v>1</v>
      </c>
      <c r="J156">
        <v>0</v>
      </c>
      <c r="K156">
        <v>1</v>
      </c>
      <c r="L156">
        <v>1</v>
      </c>
      <c r="M156">
        <v>1</v>
      </c>
    </row>
    <row r="157" spans="1:13" x14ac:dyDescent="0.25">
      <c r="A157">
        <v>123</v>
      </c>
      <c r="B157">
        <f>HEX2DEC(Tabela1[[#This Row],[VLANStr]])</f>
        <v>291</v>
      </c>
      <c r="C157" t="s">
        <v>14</v>
      </c>
      <c r="D157">
        <f>HEX2DEC(Tabela1[[#This Row],[ecpriIDstr]])</f>
        <v>41120</v>
      </c>
      <c r="E157">
        <v>0</v>
      </c>
      <c r="F157">
        <v>2</v>
      </c>
      <c r="G157">
        <v>0</v>
      </c>
      <c r="H157">
        <v>155</v>
      </c>
      <c r="I157">
        <v>1</v>
      </c>
      <c r="J157">
        <v>0</v>
      </c>
      <c r="K157">
        <v>1</v>
      </c>
      <c r="L157">
        <v>1</v>
      </c>
      <c r="M157">
        <v>1</v>
      </c>
    </row>
    <row r="158" spans="1:13" x14ac:dyDescent="0.25">
      <c r="A158">
        <v>123</v>
      </c>
      <c r="B158">
        <f>HEX2DEC(Tabela1[[#This Row],[VLANStr]])</f>
        <v>291</v>
      </c>
      <c r="C158" t="s">
        <v>14</v>
      </c>
      <c r="D158">
        <f>HEX2DEC(Tabela1[[#This Row],[ecpriIDstr]])</f>
        <v>41120</v>
      </c>
      <c r="E158">
        <v>0</v>
      </c>
      <c r="F158">
        <v>2</v>
      </c>
      <c r="G158">
        <v>0</v>
      </c>
      <c r="H158">
        <v>156</v>
      </c>
      <c r="I158">
        <v>1</v>
      </c>
      <c r="J158">
        <v>0</v>
      </c>
      <c r="K158">
        <v>1</v>
      </c>
      <c r="L158">
        <v>1</v>
      </c>
      <c r="M158">
        <v>1</v>
      </c>
    </row>
    <row r="159" spans="1:13" x14ac:dyDescent="0.25">
      <c r="A159">
        <v>123</v>
      </c>
      <c r="B159">
        <f>HEX2DEC(Tabela1[[#This Row],[VLANStr]])</f>
        <v>291</v>
      </c>
      <c r="C159" t="s">
        <v>14</v>
      </c>
      <c r="D159">
        <f>HEX2DEC(Tabela1[[#This Row],[ecpriIDstr]])</f>
        <v>41120</v>
      </c>
      <c r="E159">
        <v>0</v>
      </c>
      <c r="F159">
        <v>2</v>
      </c>
      <c r="G159">
        <v>0</v>
      </c>
      <c r="H159">
        <v>157</v>
      </c>
      <c r="I159">
        <v>1</v>
      </c>
      <c r="J159">
        <v>0</v>
      </c>
      <c r="K159">
        <v>1</v>
      </c>
      <c r="L159">
        <v>1</v>
      </c>
      <c r="M159">
        <v>1</v>
      </c>
    </row>
    <row r="160" spans="1:13" x14ac:dyDescent="0.25">
      <c r="A160">
        <v>123</v>
      </c>
      <c r="B160">
        <f>HEX2DEC(Tabela1[[#This Row],[VLANStr]])</f>
        <v>291</v>
      </c>
      <c r="C160" t="s">
        <v>14</v>
      </c>
      <c r="D160">
        <f>HEX2DEC(Tabela1[[#This Row],[ecpriIDstr]])</f>
        <v>41120</v>
      </c>
      <c r="E160">
        <v>0</v>
      </c>
      <c r="F160">
        <v>2</v>
      </c>
      <c r="G160">
        <v>0</v>
      </c>
      <c r="H160">
        <v>158</v>
      </c>
      <c r="I160">
        <v>1</v>
      </c>
      <c r="J160">
        <v>0</v>
      </c>
      <c r="K160">
        <v>1</v>
      </c>
      <c r="L160">
        <v>1</v>
      </c>
      <c r="M160">
        <v>1</v>
      </c>
    </row>
    <row r="161" spans="1:13" x14ac:dyDescent="0.25">
      <c r="A161">
        <v>123</v>
      </c>
      <c r="B161">
        <f>HEX2DEC(Tabela1[[#This Row],[VLANStr]])</f>
        <v>291</v>
      </c>
      <c r="C161" t="s">
        <v>14</v>
      </c>
      <c r="D161">
        <f>HEX2DEC(Tabela1[[#This Row],[ecpriIDstr]])</f>
        <v>41120</v>
      </c>
      <c r="E161">
        <v>0</v>
      </c>
      <c r="F161">
        <v>2</v>
      </c>
      <c r="G161">
        <v>0</v>
      </c>
      <c r="H161">
        <v>159</v>
      </c>
      <c r="I161">
        <v>1</v>
      </c>
      <c r="J161">
        <v>0</v>
      </c>
      <c r="K161">
        <v>1</v>
      </c>
      <c r="L161">
        <v>1</v>
      </c>
      <c r="M161">
        <v>1</v>
      </c>
    </row>
    <row r="162" spans="1:13" x14ac:dyDescent="0.25">
      <c r="A162">
        <v>123</v>
      </c>
      <c r="B162">
        <f>HEX2DEC(Tabela1[[#This Row],[VLANStr]])</f>
        <v>291</v>
      </c>
      <c r="C162" t="s">
        <v>14</v>
      </c>
      <c r="D162">
        <f>HEX2DEC(Tabela1[[#This Row],[ecpriIDstr]])</f>
        <v>41120</v>
      </c>
      <c r="E162">
        <v>0</v>
      </c>
      <c r="F162">
        <v>2</v>
      </c>
      <c r="G162">
        <v>0</v>
      </c>
      <c r="H162">
        <v>160</v>
      </c>
      <c r="I162">
        <v>1</v>
      </c>
      <c r="J162">
        <v>0</v>
      </c>
      <c r="K162">
        <v>1</v>
      </c>
      <c r="L162">
        <v>1</v>
      </c>
      <c r="M162">
        <v>1</v>
      </c>
    </row>
    <row r="163" spans="1:13" x14ac:dyDescent="0.25">
      <c r="A163">
        <v>123</v>
      </c>
      <c r="B163">
        <f>HEX2DEC(Tabela1[[#This Row],[VLANStr]])</f>
        <v>291</v>
      </c>
      <c r="C163" t="s">
        <v>14</v>
      </c>
      <c r="D163">
        <f>HEX2DEC(Tabela1[[#This Row],[ecpriIDstr]])</f>
        <v>41120</v>
      </c>
      <c r="E163">
        <v>0</v>
      </c>
      <c r="F163">
        <v>2</v>
      </c>
      <c r="G163">
        <v>0</v>
      </c>
      <c r="H163">
        <v>161</v>
      </c>
      <c r="I163">
        <v>1</v>
      </c>
      <c r="J163">
        <v>0</v>
      </c>
      <c r="K163">
        <v>1</v>
      </c>
      <c r="L163">
        <v>1</v>
      </c>
      <c r="M163">
        <v>1</v>
      </c>
    </row>
    <row r="164" spans="1:13" x14ac:dyDescent="0.25">
      <c r="A164">
        <v>123</v>
      </c>
      <c r="B164">
        <f>HEX2DEC(Tabela1[[#This Row],[VLANStr]])</f>
        <v>291</v>
      </c>
      <c r="C164" t="s">
        <v>14</v>
      </c>
      <c r="D164">
        <f>HEX2DEC(Tabela1[[#This Row],[ecpriIDstr]])</f>
        <v>41120</v>
      </c>
      <c r="E164">
        <v>0</v>
      </c>
      <c r="F164">
        <v>2</v>
      </c>
      <c r="G164">
        <v>0</v>
      </c>
      <c r="H164">
        <v>162</v>
      </c>
      <c r="I164">
        <v>1</v>
      </c>
      <c r="J164">
        <v>0</v>
      </c>
      <c r="K164">
        <v>1</v>
      </c>
      <c r="L164">
        <v>1</v>
      </c>
      <c r="M164">
        <v>1</v>
      </c>
    </row>
    <row r="165" spans="1:13" x14ac:dyDescent="0.25">
      <c r="A165">
        <v>123</v>
      </c>
      <c r="B165">
        <f>HEX2DEC(Tabela1[[#This Row],[VLANStr]])</f>
        <v>291</v>
      </c>
      <c r="C165" t="s">
        <v>14</v>
      </c>
      <c r="D165">
        <f>HEX2DEC(Tabela1[[#This Row],[ecpriIDstr]])</f>
        <v>41120</v>
      </c>
      <c r="E165">
        <v>0</v>
      </c>
      <c r="F165">
        <v>2</v>
      </c>
      <c r="G165">
        <v>0</v>
      </c>
      <c r="H165">
        <v>163</v>
      </c>
      <c r="I165">
        <v>1</v>
      </c>
      <c r="J165">
        <v>0</v>
      </c>
      <c r="K165">
        <v>1</v>
      </c>
      <c r="L165">
        <v>1</v>
      </c>
      <c r="M165">
        <v>1</v>
      </c>
    </row>
    <row r="166" spans="1:13" x14ac:dyDescent="0.25">
      <c r="A166">
        <v>123</v>
      </c>
      <c r="B166">
        <f>HEX2DEC(Tabela1[[#This Row],[VLANStr]])</f>
        <v>291</v>
      </c>
      <c r="C166" t="s">
        <v>14</v>
      </c>
      <c r="D166">
        <f>HEX2DEC(Tabela1[[#This Row],[ecpriIDstr]])</f>
        <v>41120</v>
      </c>
      <c r="E166">
        <v>0</v>
      </c>
      <c r="F166">
        <v>2</v>
      </c>
      <c r="G166">
        <v>0</v>
      </c>
      <c r="H166">
        <v>164</v>
      </c>
      <c r="I166">
        <v>1</v>
      </c>
      <c r="J166">
        <v>0</v>
      </c>
      <c r="K166">
        <v>1</v>
      </c>
      <c r="L166">
        <v>1</v>
      </c>
      <c r="M166">
        <v>1</v>
      </c>
    </row>
    <row r="167" spans="1:13" x14ac:dyDescent="0.25">
      <c r="A167">
        <v>123</v>
      </c>
      <c r="B167">
        <f>HEX2DEC(Tabela1[[#This Row],[VLANStr]])</f>
        <v>291</v>
      </c>
      <c r="C167" t="s">
        <v>14</v>
      </c>
      <c r="D167">
        <f>HEX2DEC(Tabela1[[#This Row],[ecpriIDstr]])</f>
        <v>41120</v>
      </c>
      <c r="E167">
        <v>0</v>
      </c>
      <c r="F167">
        <v>2</v>
      </c>
      <c r="G167">
        <v>0</v>
      </c>
      <c r="H167">
        <v>165</v>
      </c>
      <c r="I167">
        <v>1</v>
      </c>
      <c r="J167">
        <v>0</v>
      </c>
      <c r="K167">
        <v>1</v>
      </c>
      <c r="L167">
        <v>1</v>
      </c>
      <c r="M167">
        <v>1</v>
      </c>
    </row>
    <row r="168" spans="1:13" x14ac:dyDescent="0.25">
      <c r="A168">
        <v>123</v>
      </c>
      <c r="B168">
        <f>HEX2DEC(Tabela1[[#This Row],[VLANStr]])</f>
        <v>291</v>
      </c>
      <c r="C168" t="s">
        <v>14</v>
      </c>
      <c r="D168">
        <f>HEX2DEC(Tabela1[[#This Row],[ecpriIDstr]])</f>
        <v>41120</v>
      </c>
      <c r="E168">
        <v>0</v>
      </c>
      <c r="F168">
        <v>2</v>
      </c>
      <c r="G168">
        <v>0</v>
      </c>
      <c r="H168">
        <v>166</v>
      </c>
      <c r="I168">
        <v>1</v>
      </c>
      <c r="J168">
        <v>0</v>
      </c>
      <c r="K168">
        <v>1</v>
      </c>
      <c r="L168">
        <v>1</v>
      </c>
      <c r="M168">
        <v>1</v>
      </c>
    </row>
    <row r="169" spans="1:13" x14ac:dyDescent="0.25">
      <c r="A169">
        <v>123</v>
      </c>
      <c r="B169">
        <f>HEX2DEC(Tabela1[[#This Row],[VLANStr]])</f>
        <v>291</v>
      </c>
      <c r="C169" t="s">
        <v>14</v>
      </c>
      <c r="D169">
        <f>HEX2DEC(Tabela1[[#This Row],[ecpriIDstr]])</f>
        <v>41120</v>
      </c>
      <c r="E169">
        <v>0</v>
      </c>
      <c r="F169">
        <v>2</v>
      </c>
      <c r="G169">
        <v>0</v>
      </c>
      <c r="H169">
        <v>167</v>
      </c>
      <c r="I169">
        <v>1</v>
      </c>
      <c r="J169">
        <v>0</v>
      </c>
      <c r="K169">
        <v>1</v>
      </c>
      <c r="L169">
        <v>1</v>
      </c>
      <c r="M169">
        <v>1</v>
      </c>
    </row>
    <row r="170" spans="1:13" x14ac:dyDescent="0.25">
      <c r="A170">
        <v>123</v>
      </c>
      <c r="B170">
        <f>HEX2DEC(Tabela1[[#This Row],[VLANStr]])</f>
        <v>291</v>
      </c>
      <c r="C170" t="s">
        <v>14</v>
      </c>
      <c r="D170">
        <f>HEX2DEC(Tabela1[[#This Row],[ecpriIDstr]])</f>
        <v>41120</v>
      </c>
      <c r="E170">
        <v>0</v>
      </c>
      <c r="F170">
        <v>2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1</v>
      </c>
      <c r="M170">
        <v>1</v>
      </c>
    </row>
    <row r="171" spans="1:13" x14ac:dyDescent="0.25">
      <c r="A171">
        <v>123</v>
      </c>
      <c r="B171">
        <f>HEX2DEC(Tabela1[[#This Row],[VLANStr]])</f>
        <v>291</v>
      </c>
      <c r="C171" t="s">
        <v>14</v>
      </c>
      <c r="D171">
        <f>HEX2DEC(Tabela1[[#This Row],[ecpriIDstr]])</f>
        <v>41120</v>
      </c>
      <c r="E171">
        <v>0</v>
      </c>
      <c r="F171">
        <v>2</v>
      </c>
      <c r="G171">
        <v>0</v>
      </c>
      <c r="H171">
        <v>169</v>
      </c>
      <c r="I171">
        <v>1</v>
      </c>
      <c r="J171">
        <v>0</v>
      </c>
      <c r="K171">
        <v>1</v>
      </c>
      <c r="L171">
        <v>1</v>
      </c>
      <c r="M171">
        <v>1</v>
      </c>
    </row>
    <row r="172" spans="1:13" x14ac:dyDescent="0.25">
      <c r="A172">
        <v>123</v>
      </c>
      <c r="B172">
        <f>HEX2DEC(Tabela1[[#This Row],[VLANStr]])</f>
        <v>291</v>
      </c>
      <c r="C172" t="s">
        <v>14</v>
      </c>
      <c r="D172">
        <f>HEX2DEC(Tabela1[[#This Row],[ecpriIDstr]])</f>
        <v>41120</v>
      </c>
      <c r="E172">
        <v>0</v>
      </c>
      <c r="F172">
        <v>2</v>
      </c>
      <c r="G172">
        <v>0</v>
      </c>
      <c r="H172">
        <v>170</v>
      </c>
      <c r="I172">
        <v>1</v>
      </c>
      <c r="J172">
        <v>0</v>
      </c>
      <c r="K172">
        <v>1</v>
      </c>
      <c r="L172">
        <v>1</v>
      </c>
      <c r="M172">
        <v>1</v>
      </c>
    </row>
    <row r="173" spans="1:13" x14ac:dyDescent="0.25">
      <c r="A173">
        <v>123</v>
      </c>
      <c r="B173">
        <f>HEX2DEC(Tabela1[[#This Row],[VLANStr]])</f>
        <v>291</v>
      </c>
      <c r="C173" t="s">
        <v>14</v>
      </c>
      <c r="D173">
        <f>HEX2DEC(Tabela1[[#This Row],[ecpriIDstr]])</f>
        <v>41120</v>
      </c>
      <c r="E173">
        <v>0</v>
      </c>
      <c r="F173">
        <v>2</v>
      </c>
      <c r="G173">
        <v>0</v>
      </c>
      <c r="H173">
        <v>171</v>
      </c>
      <c r="I173">
        <v>1</v>
      </c>
      <c r="J173">
        <v>0</v>
      </c>
      <c r="K173">
        <v>1</v>
      </c>
      <c r="L173">
        <v>1</v>
      </c>
      <c r="M173">
        <v>1</v>
      </c>
    </row>
    <row r="174" spans="1:13" x14ac:dyDescent="0.25">
      <c r="A174">
        <v>123</v>
      </c>
      <c r="B174">
        <f>HEX2DEC(Tabela1[[#This Row],[VLANStr]])</f>
        <v>291</v>
      </c>
      <c r="C174" t="s">
        <v>14</v>
      </c>
      <c r="D174">
        <f>HEX2DEC(Tabela1[[#This Row],[ecpriIDstr]])</f>
        <v>41120</v>
      </c>
      <c r="E174">
        <v>0</v>
      </c>
      <c r="F174">
        <v>2</v>
      </c>
      <c r="G174">
        <v>0</v>
      </c>
      <c r="H174">
        <v>172</v>
      </c>
      <c r="I174">
        <v>1</v>
      </c>
      <c r="J174">
        <v>0</v>
      </c>
      <c r="K174">
        <v>1</v>
      </c>
      <c r="L174">
        <v>1</v>
      </c>
      <c r="M174">
        <v>1</v>
      </c>
    </row>
    <row r="175" spans="1:13" x14ac:dyDescent="0.25">
      <c r="A175">
        <v>123</v>
      </c>
      <c r="B175">
        <f>HEX2DEC(Tabela1[[#This Row],[VLANStr]])</f>
        <v>291</v>
      </c>
      <c r="C175" t="s">
        <v>14</v>
      </c>
      <c r="D175">
        <f>HEX2DEC(Tabela1[[#This Row],[ecpriIDstr]])</f>
        <v>41120</v>
      </c>
      <c r="E175">
        <v>0</v>
      </c>
      <c r="F175">
        <v>2</v>
      </c>
      <c r="G175">
        <v>0</v>
      </c>
      <c r="H175">
        <v>173</v>
      </c>
      <c r="I175">
        <v>1</v>
      </c>
      <c r="J175">
        <v>0</v>
      </c>
      <c r="K175">
        <v>1</v>
      </c>
      <c r="L175">
        <v>1</v>
      </c>
      <c r="M175">
        <v>1</v>
      </c>
    </row>
    <row r="176" spans="1:13" x14ac:dyDescent="0.25">
      <c r="A176">
        <v>123</v>
      </c>
      <c r="B176">
        <f>HEX2DEC(Tabela1[[#This Row],[VLANStr]])</f>
        <v>291</v>
      </c>
      <c r="C176" t="s">
        <v>14</v>
      </c>
      <c r="D176">
        <f>HEX2DEC(Tabela1[[#This Row],[ecpriIDstr]])</f>
        <v>41120</v>
      </c>
      <c r="E176">
        <v>0</v>
      </c>
      <c r="F176">
        <v>2</v>
      </c>
      <c r="G176">
        <v>0</v>
      </c>
      <c r="H176">
        <v>174</v>
      </c>
      <c r="I176">
        <v>1</v>
      </c>
      <c r="J176">
        <v>0</v>
      </c>
      <c r="K176">
        <v>1</v>
      </c>
      <c r="L176">
        <v>1</v>
      </c>
      <c r="M176">
        <v>1</v>
      </c>
    </row>
    <row r="177" spans="1:13" x14ac:dyDescent="0.25">
      <c r="A177">
        <v>123</v>
      </c>
      <c r="B177">
        <f>HEX2DEC(Tabela1[[#This Row],[VLANStr]])</f>
        <v>291</v>
      </c>
      <c r="C177" t="s">
        <v>14</v>
      </c>
      <c r="D177">
        <f>HEX2DEC(Tabela1[[#This Row],[ecpriIDstr]])</f>
        <v>41120</v>
      </c>
      <c r="E177">
        <v>0</v>
      </c>
      <c r="F177">
        <v>2</v>
      </c>
      <c r="G177">
        <v>0</v>
      </c>
      <c r="H177">
        <v>175</v>
      </c>
      <c r="I177">
        <v>1</v>
      </c>
      <c r="J177">
        <v>0</v>
      </c>
      <c r="K177">
        <v>1</v>
      </c>
      <c r="L177">
        <v>1</v>
      </c>
      <c r="M177">
        <v>1</v>
      </c>
    </row>
    <row r="178" spans="1:13" x14ac:dyDescent="0.25">
      <c r="A178">
        <v>123</v>
      </c>
      <c r="B178">
        <f>HEX2DEC(Tabela1[[#This Row],[VLANStr]])</f>
        <v>291</v>
      </c>
      <c r="C178" t="s">
        <v>14</v>
      </c>
      <c r="D178">
        <f>HEX2DEC(Tabela1[[#This Row],[ecpriIDstr]])</f>
        <v>41120</v>
      </c>
      <c r="E178">
        <v>0</v>
      </c>
      <c r="F178">
        <v>2</v>
      </c>
      <c r="G178">
        <v>0</v>
      </c>
      <c r="H178">
        <v>176</v>
      </c>
      <c r="I178">
        <v>1</v>
      </c>
      <c r="J178">
        <v>0</v>
      </c>
      <c r="K178">
        <v>1</v>
      </c>
      <c r="L178">
        <v>1</v>
      </c>
      <c r="M178">
        <v>1</v>
      </c>
    </row>
    <row r="179" spans="1:13" x14ac:dyDescent="0.25">
      <c r="A179">
        <v>123</v>
      </c>
      <c r="B179">
        <f>HEX2DEC(Tabela1[[#This Row],[VLANStr]])</f>
        <v>291</v>
      </c>
      <c r="C179" t="s">
        <v>14</v>
      </c>
      <c r="D179">
        <f>HEX2DEC(Tabela1[[#This Row],[ecpriIDstr]])</f>
        <v>41120</v>
      </c>
      <c r="E179">
        <v>0</v>
      </c>
      <c r="F179">
        <v>2</v>
      </c>
      <c r="G179">
        <v>0</v>
      </c>
      <c r="H179">
        <v>177</v>
      </c>
      <c r="I179">
        <v>1</v>
      </c>
      <c r="J179">
        <v>0</v>
      </c>
      <c r="K179">
        <v>1</v>
      </c>
      <c r="L179">
        <v>1</v>
      </c>
      <c r="M179">
        <v>1</v>
      </c>
    </row>
    <row r="180" spans="1:13" x14ac:dyDescent="0.25">
      <c r="A180">
        <v>123</v>
      </c>
      <c r="B180">
        <f>HEX2DEC(Tabela1[[#This Row],[VLANStr]])</f>
        <v>291</v>
      </c>
      <c r="C180" t="s">
        <v>14</v>
      </c>
      <c r="D180">
        <f>HEX2DEC(Tabela1[[#This Row],[ecpriIDstr]])</f>
        <v>41120</v>
      </c>
      <c r="E180">
        <v>0</v>
      </c>
      <c r="F180">
        <v>2</v>
      </c>
      <c r="G180">
        <v>0</v>
      </c>
      <c r="H180">
        <v>178</v>
      </c>
      <c r="I180">
        <v>1</v>
      </c>
      <c r="J180">
        <v>0</v>
      </c>
      <c r="K180">
        <v>1</v>
      </c>
      <c r="L180">
        <v>1</v>
      </c>
      <c r="M180">
        <v>1</v>
      </c>
    </row>
    <row r="181" spans="1:13" x14ac:dyDescent="0.25">
      <c r="A181">
        <v>123</v>
      </c>
      <c r="B181">
        <f>HEX2DEC(Tabela1[[#This Row],[VLANStr]])</f>
        <v>291</v>
      </c>
      <c r="C181" t="s">
        <v>14</v>
      </c>
      <c r="D181">
        <f>HEX2DEC(Tabela1[[#This Row],[ecpriIDstr]])</f>
        <v>41120</v>
      </c>
      <c r="E181">
        <v>0</v>
      </c>
      <c r="F181">
        <v>2</v>
      </c>
      <c r="G181">
        <v>0</v>
      </c>
      <c r="H181">
        <v>179</v>
      </c>
      <c r="I181">
        <v>1</v>
      </c>
      <c r="J181">
        <v>0</v>
      </c>
      <c r="K181">
        <v>1</v>
      </c>
      <c r="L181">
        <v>1</v>
      </c>
      <c r="M181">
        <v>1</v>
      </c>
    </row>
    <row r="182" spans="1:13" x14ac:dyDescent="0.25">
      <c r="A182">
        <v>123</v>
      </c>
      <c r="B182">
        <f>HEX2DEC(Tabela1[[#This Row],[VLANStr]])</f>
        <v>291</v>
      </c>
      <c r="C182" t="s">
        <v>14</v>
      </c>
      <c r="D182">
        <f>HEX2DEC(Tabela1[[#This Row],[ecpriIDstr]])</f>
        <v>41120</v>
      </c>
      <c r="E182">
        <v>0</v>
      </c>
      <c r="F182">
        <v>2</v>
      </c>
      <c r="G182">
        <v>0</v>
      </c>
      <c r="H182">
        <v>180</v>
      </c>
      <c r="I182">
        <v>1</v>
      </c>
      <c r="J182">
        <v>0</v>
      </c>
      <c r="K182">
        <v>1</v>
      </c>
      <c r="L182">
        <v>1</v>
      </c>
      <c r="M182">
        <v>1</v>
      </c>
    </row>
    <row r="183" spans="1:13" x14ac:dyDescent="0.25">
      <c r="A183">
        <v>123</v>
      </c>
      <c r="B183">
        <f>HEX2DEC(Tabela1[[#This Row],[VLANStr]])</f>
        <v>291</v>
      </c>
      <c r="C183" t="s">
        <v>14</v>
      </c>
      <c r="D183">
        <f>HEX2DEC(Tabela1[[#This Row],[ecpriIDstr]])</f>
        <v>41120</v>
      </c>
      <c r="E183">
        <v>0</v>
      </c>
      <c r="F183">
        <v>2</v>
      </c>
      <c r="G183">
        <v>0</v>
      </c>
      <c r="H183">
        <v>181</v>
      </c>
      <c r="I183">
        <v>1</v>
      </c>
      <c r="J183">
        <v>0</v>
      </c>
      <c r="K183">
        <v>1</v>
      </c>
      <c r="L183">
        <v>1</v>
      </c>
      <c r="M183">
        <v>1</v>
      </c>
    </row>
    <row r="184" spans="1:13" x14ac:dyDescent="0.25">
      <c r="A184">
        <v>123</v>
      </c>
      <c r="B184">
        <f>HEX2DEC(Tabela1[[#This Row],[VLANStr]])</f>
        <v>291</v>
      </c>
      <c r="C184" t="s">
        <v>14</v>
      </c>
      <c r="D184">
        <f>HEX2DEC(Tabela1[[#This Row],[ecpriIDstr]])</f>
        <v>41120</v>
      </c>
      <c r="E184">
        <v>0</v>
      </c>
      <c r="F184">
        <v>2</v>
      </c>
      <c r="G184">
        <v>0</v>
      </c>
      <c r="H184">
        <v>182</v>
      </c>
      <c r="I184">
        <v>1</v>
      </c>
      <c r="J184">
        <v>0</v>
      </c>
      <c r="K184">
        <v>1</v>
      </c>
      <c r="L184">
        <v>1</v>
      </c>
      <c r="M184">
        <v>1</v>
      </c>
    </row>
    <row r="185" spans="1:13" x14ac:dyDescent="0.25">
      <c r="A185">
        <v>123</v>
      </c>
      <c r="B185">
        <f>HEX2DEC(Tabela1[[#This Row],[VLANStr]])</f>
        <v>291</v>
      </c>
      <c r="C185" t="s">
        <v>14</v>
      </c>
      <c r="D185">
        <f>HEX2DEC(Tabela1[[#This Row],[ecpriIDstr]])</f>
        <v>41120</v>
      </c>
      <c r="E185">
        <v>0</v>
      </c>
      <c r="F185">
        <v>2</v>
      </c>
      <c r="G185">
        <v>0</v>
      </c>
      <c r="H185">
        <v>183</v>
      </c>
      <c r="I185">
        <v>1</v>
      </c>
      <c r="J185">
        <v>0</v>
      </c>
      <c r="K185">
        <v>1</v>
      </c>
      <c r="L185">
        <v>1</v>
      </c>
      <c r="M185">
        <v>1</v>
      </c>
    </row>
    <row r="186" spans="1:13" x14ac:dyDescent="0.25">
      <c r="A186">
        <v>123</v>
      </c>
      <c r="B186">
        <f>HEX2DEC(Tabela1[[#This Row],[VLANStr]])</f>
        <v>291</v>
      </c>
      <c r="C186" t="s">
        <v>14</v>
      </c>
      <c r="D186">
        <f>HEX2DEC(Tabela1[[#This Row],[ecpriIDstr]])</f>
        <v>41120</v>
      </c>
      <c r="E186">
        <v>0</v>
      </c>
      <c r="F186">
        <v>2</v>
      </c>
      <c r="G186">
        <v>0</v>
      </c>
      <c r="H186">
        <v>184</v>
      </c>
      <c r="I186">
        <v>1</v>
      </c>
      <c r="J186">
        <v>0</v>
      </c>
      <c r="K186">
        <v>1</v>
      </c>
      <c r="L186">
        <v>1</v>
      </c>
      <c r="M186">
        <v>1</v>
      </c>
    </row>
    <row r="187" spans="1:13" x14ac:dyDescent="0.25">
      <c r="A187">
        <v>123</v>
      </c>
      <c r="B187">
        <f>HEX2DEC(Tabela1[[#This Row],[VLANStr]])</f>
        <v>291</v>
      </c>
      <c r="C187" t="s">
        <v>14</v>
      </c>
      <c r="D187">
        <f>HEX2DEC(Tabela1[[#This Row],[ecpriIDstr]])</f>
        <v>41120</v>
      </c>
      <c r="E187">
        <v>0</v>
      </c>
      <c r="F187">
        <v>2</v>
      </c>
      <c r="G187">
        <v>0</v>
      </c>
      <c r="H187">
        <v>185</v>
      </c>
      <c r="I187">
        <v>1</v>
      </c>
      <c r="J187">
        <v>0</v>
      </c>
      <c r="K187">
        <v>1</v>
      </c>
      <c r="L187">
        <v>1</v>
      </c>
      <c r="M187">
        <v>1</v>
      </c>
    </row>
    <row r="188" spans="1:13" x14ac:dyDescent="0.25">
      <c r="A188">
        <v>123</v>
      </c>
      <c r="B188">
        <f>HEX2DEC(Tabela1[[#This Row],[VLANStr]])</f>
        <v>291</v>
      </c>
      <c r="C188" t="s">
        <v>14</v>
      </c>
      <c r="D188">
        <f>HEX2DEC(Tabela1[[#This Row],[ecpriIDstr]])</f>
        <v>41120</v>
      </c>
      <c r="E188">
        <v>0</v>
      </c>
      <c r="F188">
        <v>2</v>
      </c>
      <c r="G188">
        <v>0</v>
      </c>
      <c r="H188">
        <v>186</v>
      </c>
      <c r="I188">
        <v>1</v>
      </c>
      <c r="J188">
        <v>0</v>
      </c>
      <c r="K188">
        <v>1</v>
      </c>
      <c r="L188">
        <v>1</v>
      </c>
      <c r="M188">
        <v>1</v>
      </c>
    </row>
    <row r="189" spans="1:13" x14ac:dyDescent="0.25">
      <c r="A189">
        <v>123</v>
      </c>
      <c r="B189">
        <f>HEX2DEC(Tabela1[[#This Row],[VLANStr]])</f>
        <v>291</v>
      </c>
      <c r="C189" t="s">
        <v>14</v>
      </c>
      <c r="D189">
        <f>HEX2DEC(Tabela1[[#This Row],[ecpriIDstr]])</f>
        <v>41120</v>
      </c>
      <c r="E189">
        <v>0</v>
      </c>
      <c r="F189">
        <v>2</v>
      </c>
      <c r="G189">
        <v>0</v>
      </c>
      <c r="H189">
        <v>187</v>
      </c>
      <c r="I189">
        <v>1</v>
      </c>
      <c r="J189">
        <v>0</v>
      </c>
      <c r="K189">
        <v>1</v>
      </c>
      <c r="L189">
        <v>1</v>
      </c>
      <c r="M189">
        <v>1</v>
      </c>
    </row>
    <row r="190" spans="1:13" x14ac:dyDescent="0.25">
      <c r="A190">
        <v>123</v>
      </c>
      <c r="B190">
        <f>HEX2DEC(Tabela1[[#This Row],[VLANStr]])</f>
        <v>291</v>
      </c>
      <c r="C190" t="s">
        <v>14</v>
      </c>
      <c r="D190">
        <f>HEX2DEC(Tabela1[[#This Row],[ecpriIDstr]])</f>
        <v>41120</v>
      </c>
      <c r="E190">
        <v>0</v>
      </c>
      <c r="F190">
        <v>2</v>
      </c>
      <c r="G190">
        <v>0</v>
      </c>
      <c r="H190">
        <v>188</v>
      </c>
      <c r="I190">
        <v>1</v>
      </c>
      <c r="J190">
        <v>0</v>
      </c>
      <c r="K190">
        <v>1</v>
      </c>
      <c r="L190">
        <v>1</v>
      </c>
      <c r="M190">
        <v>1</v>
      </c>
    </row>
    <row r="191" spans="1:13" x14ac:dyDescent="0.25">
      <c r="A191">
        <v>123</v>
      </c>
      <c r="B191">
        <f>HEX2DEC(Tabela1[[#This Row],[VLANStr]])</f>
        <v>291</v>
      </c>
      <c r="C191" t="s">
        <v>14</v>
      </c>
      <c r="D191">
        <f>HEX2DEC(Tabela1[[#This Row],[ecpriIDstr]])</f>
        <v>41120</v>
      </c>
      <c r="E191">
        <v>0</v>
      </c>
      <c r="F191">
        <v>2</v>
      </c>
      <c r="G191">
        <v>0</v>
      </c>
      <c r="H191">
        <v>189</v>
      </c>
      <c r="I191">
        <v>1</v>
      </c>
      <c r="J191">
        <v>0</v>
      </c>
      <c r="K191">
        <v>1</v>
      </c>
      <c r="L191">
        <v>1</v>
      </c>
      <c r="M191">
        <v>1</v>
      </c>
    </row>
    <row r="192" spans="1:13" x14ac:dyDescent="0.25">
      <c r="A192">
        <v>123</v>
      </c>
      <c r="B192">
        <f>HEX2DEC(Tabela1[[#This Row],[VLANStr]])</f>
        <v>291</v>
      </c>
      <c r="C192" t="s">
        <v>14</v>
      </c>
      <c r="D192">
        <f>HEX2DEC(Tabela1[[#This Row],[ecpriIDstr]])</f>
        <v>41120</v>
      </c>
      <c r="E192">
        <v>0</v>
      </c>
      <c r="F192">
        <v>2</v>
      </c>
      <c r="G192">
        <v>0</v>
      </c>
      <c r="H192">
        <v>190</v>
      </c>
      <c r="I192">
        <v>1</v>
      </c>
      <c r="J192">
        <v>0</v>
      </c>
      <c r="K192">
        <v>1</v>
      </c>
      <c r="L192">
        <v>1</v>
      </c>
      <c r="M192">
        <v>1</v>
      </c>
    </row>
    <row r="193" spans="1:13" x14ac:dyDescent="0.25">
      <c r="A193">
        <v>123</v>
      </c>
      <c r="B193">
        <f>HEX2DEC(Tabela1[[#This Row],[VLANStr]])</f>
        <v>291</v>
      </c>
      <c r="C193" t="s">
        <v>14</v>
      </c>
      <c r="D193">
        <f>HEX2DEC(Tabela1[[#This Row],[ecpriIDstr]])</f>
        <v>41120</v>
      </c>
      <c r="E193">
        <v>0</v>
      </c>
      <c r="F193">
        <v>2</v>
      </c>
      <c r="G193">
        <v>0</v>
      </c>
      <c r="H193">
        <v>191</v>
      </c>
      <c r="I193">
        <v>1</v>
      </c>
      <c r="J193">
        <v>0</v>
      </c>
      <c r="K193">
        <v>1</v>
      </c>
      <c r="L193">
        <v>1</v>
      </c>
      <c r="M193">
        <v>1</v>
      </c>
    </row>
    <row r="194" spans="1:13" x14ac:dyDescent="0.25">
      <c r="A194">
        <v>123</v>
      </c>
      <c r="B194">
        <f>HEX2DEC(Tabela1[[#This Row],[VLANStr]])</f>
        <v>291</v>
      </c>
      <c r="C194" t="s">
        <v>14</v>
      </c>
      <c r="D194">
        <f>HEX2DEC(Tabela1[[#This Row],[ecpriIDstr]])</f>
        <v>41120</v>
      </c>
      <c r="E194">
        <v>0</v>
      </c>
      <c r="F194">
        <v>2</v>
      </c>
      <c r="G194">
        <v>0</v>
      </c>
      <c r="H194">
        <v>192</v>
      </c>
      <c r="I194">
        <v>1</v>
      </c>
      <c r="J194">
        <v>0</v>
      </c>
      <c r="K194">
        <v>1</v>
      </c>
      <c r="L194">
        <v>1</v>
      </c>
      <c r="M194">
        <v>1</v>
      </c>
    </row>
    <row r="195" spans="1:13" x14ac:dyDescent="0.25">
      <c r="A195">
        <v>123</v>
      </c>
      <c r="B195">
        <f>HEX2DEC(Tabela1[[#This Row],[VLANStr]])</f>
        <v>291</v>
      </c>
      <c r="C195" t="s">
        <v>14</v>
      </c>
      <c r="D195">
        <f>HEX2DEC(Tabela1[[#This Row],[ecpriIDstr]])</f>
        <v>41120</v>
      </c>
      <c r="E195">
        <v>0</v>
      </c>
      <c r="F195">
        <v>2</v>
      </c>
      <c r="G195">
        <v>0</v>
      </c>
      <c r="H195">
        <v>193</v>
      </c>
      <c r="I195">
        <v>1</v>
      </c>
      <c r="J195">
        <v>0</v>
      </c>
      <c r="K195">
        <v>1</v>
      </c>
      <c r="L195">
        <v>1</v>
      </c>
      <c r="M195">
        <v>1</v>
      </c>
    </row>
    <row r="196" spans="1:13" x14ac:dyDescent="0.25">
      <c r="A196">
        <v>123</v>
      </c>
      <c r="B196">
        <f>HEX2DEC(Tabela1[[#This Row],[VLANStr]])</f>
        <v>291</v>
      </c>
      <c r="C196" t="s">
        <v>14</v>
      </c>
      <c r="D196">
        <f>HEX2DEC(Tabela1[[#This Row],[ecpriIDstr]])</f>
        <v>41120</v>
      </c>
      <c r="E196">
        <v>0</v>
      </c>
      <c r="F196">
        <v>2</v>
      </c>
      <c r="G196">
        <v>0</v>
      </c>
      <c r="H196">
        <v>194</v>
      </c>
      <c r="I196">
        <v>1</v>
      </c>
      <c r="J196">
        <v>0</v>
      </c>
      <c r="K196">
        <v>1</v>
      </c>
      <c r="L196">
        <v>1</v>
      </c>
      <c r="M196">
        <v>1</v>
      </c>
    </row>
    <row r="197" spans="1:13" x14ac:dyDescent="0.25">
      <c r="A197">
        <v>123</v>
      </c>
      <c r="B197">
        <f>HEX2DEC(Tabela1[[#This Row],[VLANStr]])</f>
        <v>291</v>
      </c>
      <c r="C197" t="s">
        <v>14</v>
      </c>
      <c r="D197">
        <f>HEX2DEC(Tabela1[[#This Row],[ecpriIDstr]])</f>
        <v>41120</v>
      </c>
      <c r="E197">
        <v>0</v>
      </c>
      <c r="F197">
        <v>2</v>
      </c>
      <c r="G197">
        <v>0</v>
      </c>
      <c r="H197">
        <v>195</v>
      </c>
      <c r="I197">
        <v>1</v>
      </c>
      <c r="J197">
        <v>0</v>
      </c>
      <c r="K197">
        <v>1</v>
      </c>
      <c r="L197">
        <v>1</v>
      </c>
      <c r="M197">
        <v>1</v>
      </c>
    </row>
    <row r="198" spans="1:13" x14ac:dyDescent="0.25">
      <c r="A198">
        <v>123</v>
      </c>
      <c r="B198">
        <f>HEX2DEC(Tabela1[[#This Row],[VLANStr]])</f>
        <v>291</v>
      </c>
      <c r="C198" t="s">
        <v>14</v>
      </c>
      <c r="D198">
        <f>HEX2DEC(Tabela1[[#This Row],[ecpriIDstr]])</f>
        <v>41120</v>
      </c>
      <c r="E198">
        <v>0</v>
      </c>
      <c r="F198">
        <v>2</v>
      </c>
      <c r="G198">
        <v>0</v>
      </c>
      <c r="H198">
        <v>196</v>
      </c>
      <c r="I198">
        <v>1</v>
      </c>
      <c r="J198">
        <v>0</v>
      </c>
      <c r="K198">
        <v>1</v>
      </c>
      <c r="L198">
        <v>1</v>
      </c>
      <c r="M198">
        <v>1</v>
      </c>
    </row>
    <row r="199" spans="1:13" x14ac:dyDescent="0.25">
      <c r="A199">
        <v>123</v>
      </c>
      <c r="B199">
        <f>HEX2DEC(Tabela1[[#This Row],[VLANStr]])</f>
        <v>291</v>
      </c>
      <c r="C199" t="s">
        <v>14</v>
      </c>
      <c r="D199">
        <f>HEX2DEC(Tabela1[[#This Row],[ecpriIDstr]])</f>
        <v>41120</v>
      </c>
      <c r="E199">
        <v>0</v>
      </c>
      <c r="F199">
        <v>2</v>
      </c>
      <c r="G199">
        <v>0</v>
      </c>
      <c r="H199">
        <v>197</v>
      </c>
      <c r="I199">
        <v>1</v>
      </c>
      <c r="J199">
        <v>0</v>
      </c>
      <c r="K199">
        <v>1</v>
      </c>
      <c r="L199">
        <v>1</v>
      </c>
      <c r="M199">
        <v>1</v>
      </c>
    </row>
    <row r="200" spans="1:13" x14ac:dyDescent="0.25">
      <c r="A200">
        <v>123</v>
      </c>
      <c r="B200">
        <f>HEX2DEC(Tabela1[[#This Row],[VLANStr]])</f>
        <v>291</v>
      </c>
      <c r="C200" t="s">
        <v>14</v>
      </c>
      <c r="D200">
        <f>HEX2DEC(Tabela1[[#This Row],[ecpriIDstr]])</f>
        <v>41120</v>
      </c>
      <c r="E200">
        <v>0</v>
      </c>
      <c r="F200">
        <v>2</v>
      </c>
      <c r="G200">
        <v>0</v>
      </c>
      <c r="H200">
        <v>198</v>
      </c>
      <c r="I200">
        <v>1</v>
      </c>
      <c r="J200">
        <v>0</v>
      </c>
      <c r="K200">
        <v>1</v>
      </c>
      <c r="L200">
        <v>1</v>
      </c>
      <c r="M200">
        <v>1</v>
      </c>
    </row>
    <row r="201" spans="1:13" x14ac:dyDescent="0.25">
      <c r="A201">
        <v>123</v>
      </c>
      <c r="B201">
        <f>HEX2DEC(Tabela1[[#This Row],[VLANStr]])</f>
        <v>291</v>
      </c>
      <c r="C201" t="s">
        <v>14</v>
      </c>
      <c r="D201">
        <f>HEX2DEC(Tabela1[[#This Row],[ecpriIDstr]])</f>
        <v>41120</v>
      </c>
      <c r="E201">
        <v>0</v>
      </c>
      <c r="F201">
        <v>2</v>
      </c>
      <c r="G201">
        <v>0</v>
      </c>
      <c r="H201">
        <v>199</v>
      </c>
      <c r="I201">
        <v>1</v>
      </c>
      <c r="J201">
        <v>0</v>
      </c>
      <c r="K201">
        <v>1</v>
      </c>
      <c r="L201">
        <v>1</v>
      </c>
      <c r="M201">
        <v>1</v>
      </c>
    </row>
    <row r="202" spans="1:13" x14ac:dyDescent="0.25">
      <c r="A202">
        <v>123</v>
      </c>
      <c r="B202">
        <f>HEX2DEC(Tabela1[[#This Row],[VLANStr]])</f>
        <v>291</v>
      </c>
      <c r="C202" t="s">
        <v>14</v>
      </c>
      <c r="D202">
        <f>HEX2DEC(Tabela1[[#This Row],[ecpriIDstr]])</f>
        <v>41120</v>
      </c>
      <c r="E202">
        <v>0</v>
      </c>
      <c r="F202">
        <v>2</v>
      </c>
      <c r="G202">
        <v>0</v>
      </c>
      <c r="H202">
        <v>200</v>
      </c>
      <c r="I202">
        <v>1</v>
      </c>
      <c r="J202">
        <v>0</v>
      </c>
      <c r="K202">
        <v>1</v>
      </c>
      <c r="L202">
        <v>1</v>
      </c>
      <c r="M202">
        <v>1</v>
      </c>
    </row>
    <row r="203" spans="1:13" x14ac:dyDescent="0.25">
      <c r="A203">
        <v>123</v>
      </c>
      <c r="B203">
        <f>HEX2DEC(Tabela1[[#This Row],[VLANStr]])</f>
        <v>291</v>
      </c>
      <c r="C203" t="s">
        <v>14</v>
      </c>
      <c r="D203">
        <f>HEX2DEC(Tabela1[[#This Row],[ecpriIDstr]])</f>
        <v>41120</v>
      </c>
      <c r="E203">
        <v>0</v>
      </c>
      <c r="F203">
        <v>2</v>
      </c>
      <c r="G203">
        <v>0</v>
      </c>
      <c r="H203">
        <v>201</v>
      </c>
      <c r="I203">
        <v>1</v>
      </c>
      <c r="J203">
        <v>0</v>
      </c>
      <c r="K203">
        <v>1</v>
      </c>
      <c r="L203">
        <v>1</v>
      </c>
      <c r="M203">
        <v>1</v>
      </c>
    </row>
    <row r="204" spans="1:13" x14ac:dyDescent="0.25">
      <c r="A204">
        <v>123</v>
      </c>
      <c r="B204">
        <f>HEX2DEC(Tabela1[[#This Row],[VLANStr]])</f>
        <v>291</v>
      </c>
      <c r="C204" t="s">
        <v>14</v>
      </c>
      <c r="D204">
        <f>HEX2DEC(Tabela1[[#This Row],[ecpriIDstr]])</f>
        <v>41120</v>
      </c>
      <c r="E204">
        <v>0</v>
      </c>
      <c r="F204">
        <v>2</v>
      </c>
      <c r="G204">
        <v>0</v>
      </c>
      <c r="H204">
        <v>202</v>
      </c>
      <c r="I204">
        <v>1</v>
      </c>
      <c r="J204">
        <v>0</v>
      </c>
      <c r="K204">
        <v>1</v>
      </c>
      <c r="L204">
        <v>1</v>
      </c>
      <c r="M204">
        <v>1</v>
      </c>
    </row>
    <row r="205" spans="1:13" x14ac:dyDescent="0.25">
      <c r="A205">
        <v>123</v>
      </c>
      <c r="B205">
        <f>HEX2DEC(Tabela1[[#This Row],[VLANStr]])</f>
        <v>291</v>
      </c>
      <c r="C205" t="s">
        <v>14</v>
      </c>
      <c r="D205">
        <f>HEX2DEC(Tabela1[[#This Row],[ecpriIDstr]])</f>
        <v>41120</v>
      </c>
      <c r="E205">
        <v>0</v>
      </c>
      <c r="F205">
        <v>2</v>
      </c>
      <c r="G205">
        <v>0</v>
      </c>
      <c r="H205">
        <v>203</v>
      </c>
      <c r="I205">
        <v>1</v>
      </c>
      <c r="J205">
        <v>0</v>
      </c>
      <c r="K205">
        <v>1</v>
      </c>
      <c r="L205">
        <v>1</v>
      </c>
      <c r="M205">
        <v>1</v>
      </c>
    </row>
    <row r="206" spans="1:13" x14ac:dyDescent="0.25">
      <c r="A206">
        <v>123</v>
      </c>
      <c r="B206">
        <f>HEX2DEC(Tabela1[[#This Row],[VLANStr]])</f>
        <v>291</v>
      </c>
      <c r="C206" t="s">
        <v>14</v>
      </c>
      <c r="D206">
        <f>HEX2DEC(Tabela1[[#This Row],[ecpriIDstr]])</f>
        <v>41120</v>
      </c>
      <c r="E206">
        <v>0</v>
      </c>
      <c r="F206">
        <v>2</v>
      </c>
      <c r="G206">
        <v>0</v>
      </c>
      <c r="H206">
        <v>204</v>
      </c>
      <c r="I206">
        <v>1</v>
      </c>
      <c r="J206">
        <v>0</v>
      </c>
      <c r="K206">
        <v>1</v>
      </c>
      <c r="L206">
        <v>1</v>
      </c>
      <c r="M206">
        <v>1</v>
      </c>
    </row>
    <row r="207" spans="1:13" x14ac:dyDescent="0.25">
      <c r="A207">
        <v>123</v>
      </c>
      <c r="B207">
        <f>HEX2DEC(Tabela1[[#This Row],[VLANStr]])</f>
        <v>291</v>
      </c>
      <c r="C207" t="s">
        <v>14</v>
      </c>
      <c r="D207">
        <f>HEX2DEC(Tabela1[[#This Row],[ecpriIDstr]])</f>
        <v>41120</v>
      </c>
      <c r="E207">
        <v>0</v>
      </c>
      <c r="F207">
        <v>2</v>
      </c>
      <c r="G207">
        <v>0</v>
      </c>
      <c r="H207">
        <v>205</v>
      </c>
      <c r="I207">
        <v>1</v>
      </c>
      <c r="J207">
        <v>0</v>
      </c>
      <c r="K207">
        <v>1</v>
      </c>
      <c r="L207">
        <v>1</v>
      </c>
      <c r="M207">
        <v>1</v>
      </c>
    </row>
    <row r="208" spans="1:13" x14ac:dyDescent="0.25">
      <c r="A208">
        <v>123</v>
      </c>
      <c r="B208">
        <f>HEX2DEC(Tabela1[[#This Row],[VLANStr]])</f>
        <v>291</v>
      </c>
      <c r="C208" t="s">
        <v>14</v>
      </c>
      <c r="D208">
        <f>HEX2DEC(Tabela1[[#This Row],[ecpriIDstr]])</f>
        <v>41120</v>
      </c>
      <c r="E208">
        <v>0</v>
      </c>
      <c r="F208">
        <v>2</v>
      </c>
      <c r="G208">
        <v>0</v>
      </c>
      <c r="H208">
        <v>206</v>
      </c>
      <c r="I208">
        <v>1</v>
      </c>
      <c r="J208">
        <v>0</v>
      </c>
      <c r="K208">
        <v>1</v>
      </c>
      <c r="L208">
        <v>1</v>
      </c>
      <c r="M208">
        <v>1</v>
      </c>
    </row>
    <row r="209" spans="1:13" x14ac:dyDescent="0.25">
      <c r="A209">
        <v>123</v>
      </c>
      <c r="B209">
        <f>HEX2DEC(Tabela1[[#This Row],[VLANStr]])</f>
        <v>291</v>
      </c>
      <c r="C209" t="s">
        <v>14</v>
      </c>
      <c r="D209">
        <f>HEX2DEC(Tabela1[[#This Row],[ecpriIDstr]])</f>
        <v>41120</v>
      </c>
      <c r="E209">
        <v>0</v>
      </c>
      <c r="F209">
        <v>2</v>
      </c>
      <c r="G209">
        <v>0</v>
      </c>
      <c r="H209">
        <v>207</v>
      </c>
      <c r="I209">
        <v>1</v>
      </c>
      <c r="J209">
        <v>0</v>
      </c>
      <c r="K209">
        <v>1</v>
      </c>
      <c r="L209">
        <v>1</v>
      </c>
      <c r="M209">
        <v>1</v>
      </c>
    </row>
    <row r="210" spans="1:13" x14ac:dyDescent="0.25">
      <c r="A210">
        <v>123</v>
      </c>
      <c r="B210">
        <f>HEX2DEC(Tabela1[[#This Row],[VLANStr]])</f>
        <v>291</v>
      </c>
      <c r="C210" t="s">
        <v>14</v>
      </c>
      <c r="D210">
        <f>HEX2DEC(Tabela1[[#This Row],[ecpriIDstr]])</f>
        <v>41120</v>
      </c>
      <c r="E210">
        <v>0</v>
      </c>
      <c r="F210">
        <v>2</v>
      </c>
      <c r="G210">
        <v>0</v>
      </c>
      <c r="H210">
        <v>208</v>
      </c>
      <c r="I210">
        <v>1</v>
      </c>
      <c r="J210">
        <v>0</v>
      </c>
      <c r="K210">
        <v>1</v>
      </c>
      <c r="L210">
        <v>1</v>
      </c>
      <c r="M210">
        <v>1</v>
      </c>
    </row>
    <row r="211" spans="1:13" x14ac:dyDescent="0.25">
      <c r="A211">
        <v>123</v>
      </c>
      <c r="B211">
        <f>HEX2DEC(Tabela1[[#This Row],[VLANStr]])</f>
        <v>291</v>
      </c>
      <c r="C211" t="s">
        <v>14</v>
      </c>
      <c r="D211">
        <f>HEX2DEC(Tabela1[[#This Row],[ecpriIDstr]])</f>
        <v>41120</v>
      </c>
      <c r="E211">
        <v>0</v>
      </c>
      <c r="F211">
        <v>2</v>
      </c>
      <c r="G211">
        <v>0</v>
      </c>
      <c r="H211">
        <v>209</v>
      </c>
      <c r="I211">
        <v>1</v>
      </c>
      <c r="J211">
        <v>0</v>
      </c>
      <c r="K211">
        <v>1</v>
      </c>
      <c r="L211">
        <v>1</v>
      </c>
      <c r="M211">
        <v>1</v>
      </c>
    </row>
    <row r="212" spans="1:13" x14ac:dyDescent="0.25">
      <c r="A212">
        <v>123</v>
      </c>
      <c r="B212">
        <f>HEX2DEC(Tabela1[[#This Row],[VLANStr]])</f>
        <v>291</v>
      </c>
      <c r="C212" t="s">
        <v>14</v>
      </c>
      <c r="D212">
        <f>HEX2DEC(Tabela1[[#This Row],[ecpriIDstr]])</f>
        <v>41120</v>
      </c>
      <c r="E212">
        <v>0</v>
      </c>
      <c r="F212">
        <v>2</v>
      </c>
      <c r="G212">
        <v>0</v>
      </c>
      <c r="H212">
        <v>210</v>
      </c>
      <c r="I212">
        <v>1</v>
      </c>
      <c r="J212">
        <v>0</v>
      </c>
      <c r="K212">
        <v>1</v>
      </c>
      <c r="L212">
        <v>1</v>
      </c>
      <c r="M212">
        <v>1</v>
      </c>
    </row>
    <row r="213" spans="1:13" x14ac:dyDescent="0.25">
      <c r="A213">
        <v>123</v>
      </c>
      <c r="B213">
        <f>HEX2DEC(Tabela1[[#This Row],[VLANStr]])</f>
        <v>291</v>
      </c>
      <c r="C213" t="s">
        <v>14</v>
      </c>
      <c r="D213">
        <f>HEX2DEC(Tabela1[[#This Row],[ecpriIDstr]])</f>
        <v>41120</v>
      </c>
      <c r="E213">
        <v>0</v>
      </c>
      <c r="F213">
        <v>2</v>
      </c>
      <c r="G213">
        <v>0</v>
      </c>
      <c r="H213">
        <v>211</v>
      </c>
      <c r="I213">
        <v>1</v>
      </c>
      <c r="J213">
        <v>0</v>
      </c>
      <c r="K213">
        <v>1</v>
      </c>
      <c r="L213">
        <v>1</v>
      </c>
      <c r="M213">
        <v>1</v>
      </c>
    </row>
    <row r="214" spans="1:13" x14ac:dyDescent="0.25">
      <c r="A214">
        <v>123</v>
      </c>
      <c r="B214">
        <f>HEX2DEC(Tabela1[[#This Row],[VLANStr]])</f>
        <v>291</v>
      </c>
      <c r="C214" t="s">
        <v>14</v>
      </c>
      <c r="D214">
        <f>HEX2DEC(Tabela1[[#This Row],[ecpriIDstr]])</f>
        <v>41120</v>
      </c>
      <c r="E214">
        <v>0</v>
      </c>
      <c r="F214">
        <v>2</v>
      </c>
      <c r="G214">
        <v>0</v>
      </c>
      <c r="H214">
        <v>212</v>
      </c>
      <c r="I214">
        <v>1</v>
      </c>
      <c r="J214">
        <v>0</v>
      </c>
      <c r="K214">
        <v>1</v>
      </c>
      <c r="L214">
        <v>1</v>
      </c>
      <c r="M214">
        <v>1</v>
      </c>
    </row>
    <row r="215" spans="1:13" x14ac:dyDescent="0.25">
      <c r="A215">
        <v>123</v>
      </c>
      <c r="B215">
        <f>HEX2DEC(Tabela1[[#This Row],[VLANStr]])</f>
        <v>291</v>
      </c>
      <c r="C215" t="s">
        <v>14</v>
      </c>
      <c r="D215">
        <f>HEX2DEC(Tabela1[[#This Row],[ecpriIDstr]])</f>
        <v>41120</v>
      </c>
      <c r="E215">
        <v>0</v>
      </c>
      <c r="F215">
        <v>2</v>
      </c>
      <c r="G215">
        <v>0</v>
      </c>
      <c r="H215">
        <v>213</v>
      </c>
      <c r="I215">
        <v>1</v>
      </c>
      <c r="J215">
        <v>0</v>
      </c>
      <c r="K215">
        <v>1</v>
      </c>
      <c r="L215">
        <v>1</v>
      </c>
      <c r="M215">
        <v>1</v>
      </c>
    </row>
    <row r="216" spans="1:13" x14ac:dyDescent="0.25">
      <c r="A216">
        <v>123</v>
      </c>
      <c r="B216">
        <f>HEX2DEC(Tabela1[[#This Row],[VLANStr]])</f>
        <v>291</v>
      </c>
      <c r="C216" t="s">
        <v>14</v>
      </c>
      <c r="D216">
        <f>HEX2DEC(Tabela1[[#This Row],[ecpriIDstr]])</f>
        <v>41120</v>
      </c>
      <c r="E216">
        <v>0</v>
      </c>
      <c r="F216">
        <v>2</v>
      </c>
      <c r="G216">
        <v>0</v>
      </c>
      <c r="H216">
        <v>214</v>
      </c>
      <c r="I216">
        <v>1</v>
      </c>
      <c r="J216">
        <v>0</v>
      </c>
      <c r="K216">
        <v>1</v>
      </c>
      <c r="L216">
        <v>1</v>
      </c>
      <c r="M216">
        <v>1</v>
      </c>
    </row>
    <row r="217" spans="1:13" x14ac:dyDescent="0.25">
      <c r="A217">
        <v>123</v>
      </c>
      <c r="B217">
        <f>HEX2DEC(Tabela1[[#This Row],[VLANStr]])</f>
        <v>291</v>
      </c>
      <c r="C217" t="s">
        <v>14</v>
      </c>
      <c r="D217">
        <f>HEX2DEC(Tabela1[[#This Row],[ecpriIDstr]])</f>
        <v>41120</v>
      </c>
      <c r="E217">
        <v>0</v>
      </c>
      <c r="F217">
        <v>2</v>
      </c>
      <c r="G217">
        <v>0</v>
      </c>
      <c r="H217">
        <v>215</v>
      </c>
      <c r="I217">
        <v>1</v>
      </c>
      <c r="J217">
        <v>0</v>
      </c>
      <c r="K217">
        <v>1</v>
      </c>
      <c r="L217">
        <v>1</v>
      </c>
      <c r="M217">
        <v>1</v>
      </c>
    </row>
    <row r="218" spans="1:13" x14ac:dyDescent="0.25">
      <c r="A218">
        <v>123</v>
      </c>
      <c r="B218">
        <f>HEX2DEC(Tabela1[[#This Row],[VLANStr]])</f>
        <v>291</v>
      </c>
      <c r="C218" t="s">
        <v>14</v>
      </c>
      <c r="D218">
        <f>HEX2DEC(Tabela1[[#This Row],[ecpriIDstr]])</f>
        <v>41120</v>
      </c>
      <c r="E218">
        <v>0</v>
      </c>
      <c r="F218">
        <v>2</v>
      </c>
      <c r="G218">
        <v>0</v>
      </c>
      <c r="H218">
        <v>216</v>
      </c>
      <c r="I218">
        <v>1</v>
      </c>
      <c r="J218">
        <v>0</v>
      </c>
      <c r="K218">
        <v>1</v>
      </c>
      <c r="L218">
        <v>1</v>
      </c>
      <c r="M218">
        <v>1</v>
      </c>
    </row>
    <row r="219" spans="1:13" x14ac:dyDescent="0.25">
      <c r="A219">
        <v>123</v>
      </c>
      <c r="B219">
        <f>HEX2DEC(Tabela1[[#This Row],[VLANStr]])</f>
        <v>291</v>
      </c>
      <c r="C219" t="s">
        <v>14</v>
      </c>
      <c r="D219">
        <f>HEX2DEC(Tabela1[[#This Row],[ecpriIDstr]])</f>
        <v>41120</v>
      </c>
      <c r="E219">
        <v>0</v>
      </c>
      <c r="F219">
        <v>2</v>
      </c>
      <c r="G219">
        <v>0</v>
      </c>
      <c r="H219">
        <v>217</v>
      </c>
      <c r="I219">
        <v>1</v>
      </c>
      <c r="J219">
        <v>0</v>
      </c>
      <c r="K219">
        <v>1</v>
      </c>
      <c r="L219">
        <v>1</v>
      </c>
      <c r="M219">
        <v>1</v>
      </c>
    </row>
    <row r="220" spans="1:13" x14ac:dyDescent="0.25">
      <c r="A220">
        <v>123</v>
      </c>
      <c r="B220">
        <f>HEX2DEC(Tabela1[[#This Row],[VLANStr]])</f>
        <v>291</v>
      </c>
      <c r="C220" t="s">
        <v>14</v>
      </c>
      <c r="D220">
        <f>HEX2DEC(Tabela1[[#This Row],[ecpriIDstr]])</f>
        <v>41120</v>
      </c>
      <c r="E220">
        <v>0</v>
      </c>
      <c r="F220">
        <v>2</v>
      </c>
      <c r="G220">
        <v>0</v>
      </c>
      <c r="H220">
        <v>218</v>
      </c>
      <c r="I220">
        <v>1</v>
      </c>
      <c r="J220">
        <v>0</v>
      </c>
      <c r="K220">
        <v>1</v>
      </c>
      <c r="L220">
        <v>1</v>
      </c>
      <c r="M220">
        <v>1</v>
      </c>
    </row>
    <row r="221" spans="1:13" x14ac:dyDescent="0.25">
      <c r="A221">
        <v>123</v>
      </c>
      <c r="B221">
        <f>HEX2DEC(Tabela1[[#This Row],[VLANStr]])</f>
        <v>291</v>
      </c>
      <c r="C221" t="s">
        <v>14</v>
      </c>
      <c r="D221">
        <f>HEX2DEC(Tabela1[[#This Row],[ecpriIDstr]])</f>
        <v>41120</v>
      </c>
      <c r="E221">
        <v>0</v>
      </c>
      <c r="F221">
        <v>2</v>
      </c>
      <c r="G221">
        <v>0</v>
      </c>
      <c r="H221">
        <v>219</v>
      </c>
      <c r="I221">
        <v>1</v>
      </c>
      <c r="J221">
        <v>0</v>
      </c>
      <c r="K221">
        <v>1</v>
      </c>
      <c r="L221">
        <v>1</v>
      </c>
      <c r="M221">
        <v>1</v>
      </c>
    </row>
    <row r="222" spans="1:13" x14ac:dyDescent="0.25">
      <c r="A222">
        <v>123</v>
      </c>
      <c r="B222">
        <f>HEX2DEC(Tabela1[[#This Row],[VLANStr]])</f>
        <v>291</v>
      </c>
      <c r="C222" t="s">
        <v>14</v>
      </c>
      <c r="D222">
        <f>HEX2DEC(Tabela1[[#This Row],[ecpriIDstr]])</f>
        <v>41120</v>
      </c>
      <c r="E222">
        <v>0</v>
      </c>
      <c r="F222">
        <v>2</v>
      </c>
      <c r="G222">
        <v>0</v>
      </c>
      <c r="H222">
        <v>220</v>
      </c>
      <c r="I222">
        <v>1</v>
      </c>
      <c r="J222">
        <v>0</v>
      </c>
      <c r="K222">
        <v>1</v>
      </c>
      <c r="L222">
        <v>1</v>
      </c>
      <c r="M222">
        <v>1</v>
      </c>
    </row>
    <row r="223" spans="1:13" x14ac:dyDescent="0.25">
      <c r="A223">
        <v>123</v>
      </c>
      <c r="B223">
        <f>HEX2DEC(Tabela1[[#This Row],[VLANStr]])</f>
        <v>291</v>
      </c>
      <c r="C223" t="s">
        <v>14</v>
      </c>
      <c r="D223">
        <f>HEX2DEC(Tabela1[[#This Row],[ecpriIDstr]])</f>
        <v>41120</v>
      </c>
      <c r="E223">
        <v>0</v>
      </c>
      <c r="F223">
        <v>2</v>
      </c>
      <c r="G223">
        <v>0</v>
      </c>
      <c r="H223">
        <v>221</v>
      </c>
      <c r="I223">
        <v>1</v>
      </c>
      <c r="J223">
        <v>0</v>
      </c>
      <c r="K223">
        <v>1</v>
      </c>
      <c r="L223">
        <v>1</v>
      </c>
      <c r="M223">
        <v>1</v>
      </c>
    </row>
    <row r="224" spans="1:13" x14ac:dyDescent="0.25">
      <c r="A224">
        <v>123</v>
      </c>
      <c r="B224">
        <f>HEX2DEC(Tabela1[[#This Row],[VLANStr]])</f>
        <v>291</v>
      </c>
      <c r="C224" t="s">
        <v>14</v>
      </c>
      <c r="D224">
        <f>HEX2DEC(Tabela1[[#This Row],[ecpriIDstr]])</f>
        <v>41120</v>
      </c>
      <c r="E224">
        <v>0</v>
      </c>
      <c r="F224">
        <v>2</v>
      </c>
      <c r="G224">
        <v>0</v>
      </c>
      <c r="H224">
        <v>222</v>
      </c>
      <c r="I224">
        <v>1</v>
      </c>
      <c r="J224">
        <v>0</v>
      </c>
      <c r="K224">
        <v>1</v>
      </c>
      <c r="L224">
        <v>1</v>
      </c>
      <c r="M224">
        <v>1</v>
      </c>
    </row>
    <row r="225" spans="1:13" x14ac:dyDescent="0.25">
      <c r="A225">
        <v>123</v>
      </c>
      <c r="B225">
        <f>HEX2DEC(Tabela1[[#This Row],[VLANStr]])</f>
        <v>291</v>
      </c>
      <c r="C225" t="s">
        <v>14</v>
      </c>
      <c r="D225">
        <f>HEX2DEC(Tabela1[[#This Row],[ecpriIDstr]])</f>
        <v>41120</v>
      </c>
      <c r="E225">
        <v>0</v>
      </c>
      <c r="F225">
        <v>2</v>
      </c>
      <c r="G225">
        <v>0</v>
      </c>
      <c r="H225">
        <v>223</v>
      </c>
      <c r="I225">
        <v>1</v>
      </c>
      <c r="J225">
        <v>0</v>
      </c>
      <c r="K225">
        <v>1</v>
      </c>
      <c r="L225">
        <v>1</v>
      </c>
      <c r="M225">
        <v>1</v>
      </c>
    </row>
    <row r="226" spans="1:13" x14ac:dyDescent="0.25">
      <c r="A226">
        <v>123</v>
      </c>
      <c r="B226">
        <f>HEX2DEC(Tabela1[[#This Row],[VLANStr]])</f>
        <v>291</v>
      </c>
      <c r="C226" t="s">
        <v>14</v>
      </c>
      <c r="D226">
        <f>HEX2DEC(Tabela1[[#This Row],[ecpriIDstr]])</f>
        <v>41120</v>
      </c>
      <c r="E226">
        <v>0</v>
      </c>
      <c r="F226">
        <v>2</v>
      </c>
      <c r="G226">
        <v>0</v>
      </c>
      <c r="H226">
        <v>224</v>
      </c>
      <c r="I226">
        <v>1</v>
      </c>
      <c r="J226">
        <v>0</v>
      </c>
      <c r="K226">
        <v>1</v>
      </c>
      <c r="L226">
        <v>1</v>
      </c>
      <c r="M226">
        <v>1</v>
      </c>
    </row>
    <row r="227" spans="1:13" x14ac:dyDescent="0.25">
      <c r="A227">
        <v>123</v>
      </c>
      <c r="B227">
        <f>HEX2DEC(Tabela1[[#This Row],[VLANStr]])</f>
        <v>291</v>
      </c>
      <c r="C227" t="s">
        <v>14</v>
      </c>
      <c r="D227">
        <f>HEX2DEC(Tabela1[[#This Row],[ecpriIDstr]])</f>
        <v>41120</v>
      </c>
      <c r="E227">
        <v>0</v>
      </c>
      <c r="F227">
        <v>2</v>
      </c>
      <c r="G227">
        <v>0</v>
      </c>
      <c r="H227">
        <v>225</v>
      </c>
      <c r="I227">
        <v>1</v>
      </c>
      <c r="J227">
        <v>0</v>
      </c>
      <c r="K227">
        <v>1</v>
      </c>
      <c r="L227">
        <v>1</v>
      </c>
      <c r="M227">
        <v>1</v>
      </c>
    </row>
    <row r="228" spans="1:13" x14ac:dyDescent="0.25">
      <c r="A228">
        <v>123</v>
      </c>
      <c r="B228">
        <f>HEX2DEC(Tabela1[[#This Row],[VLANStr]])</f>
        <v>291</v>
      </c>
      <c r="C228" t="s">
        <v>14</v>
      </c>
      <c r="D228">
        <f>HEX2DEC(Tabela1[[#This Row],[ecpriIDstr]])</f>
        <v>41120</v>
      </c>
      <c r="E228">
        <v>0</v>
      </c>
      <c r="F228">
        <v>2</v>
      </c>
      <c r="G228">
        <v>0</v>
      </c>
      <c r="H228">
        <v>226</v>
      </c>
      <c r="I228">
        <v>1</v>
      </c>
      <c r="J228">
        <v>0</v>
      </c>
      <c r="K228">
        <v>1</v>
      </c>
      <c r="L228">
        <v>1</v>
      </c>
      <c r="M228">
        <v>1</v>
      </c>
    </row>
    <row r="229" spans="1:13" x14ac:dyDescent="0.25">
      <c r="A229">
        <v>123</v>
      </c>
      <c r="B229">
        <f>HEX2DEC(Tabela1[[#This Row],[VLANStr]])</f>
        <v>291</v>
      </c>
      <c r="C229" t="s">
        <v>14</v>
      </c>
      <c r="D229">
        <f>HEX2DEC(Tabela1[[#This Row],[ecpriIDstr]])</f>
        <v>41120</v>
      </c>
      <c r="E229">
        <v>0</v>
      </c>
      <c r="F229">
        <v>2</v>
      </c>
      <c r="G229">
        <v>0</v>
      </c>
      <c r="H229">
        <v>227</v>
      </c>
      <c r="I229">
        <v>1</v>
      </c>
      <c r="J229">
        <v>0</v>
      </c>
      <c r="K229">
        <v>1</v>
      </c>
      <c r="L229">
        <v>1</v>
      </c>
      <c r="M229">
        <v>1</v>
      </c>
    </row>
    <row r="230" spans="1:13" x14ac:dyDescent="0.25">
      <c r="A230">
        <v>123</v>
      </c>
      <c r="B230">
        <f>HEX2DEC(Tabela1[[#This Row],[VLANStr]])</f>
        <v>291</v>
      </c>
      <c r="C230" t="s">
        <v>14</v>
      </c>
      <c r="D230">
        <f>HEX2DEC(Tabela1[[#This Row],[ecpriIDstr]])</f>
        <v>41120</v>
      </c>
      <c r="E230">
        <v>0</v>
      </c>
      <c r="F230">
        <v>2</v>
      </c>
      <c r="G230">
        <v>0</v>
      </c>
      <c r="H230">
        <v>228</v>
      </c>
      <c r="I230">
        <v>1</v>
      </c>
      <c r="J230">
        <v>0</v>
      </c>
      <c r="K230">
        <v>1</v>
      </c>
      <c r="L230">
        <v>1</v>
      </c>
      <c r="M230">
        <v>1</v>
      </c>
    </row>
    <row r="231" spans="1:13" x14ac:dyDescent="0.25">
      <c r="A231">
        <v>123</v>
      </c>
      <c r="B231">
        <f>HEX2DEC(Tabela1[[#This Row],[VLANStr]])</f>
        <v>291</v>
      </c>
      <c r="C231" t="s">
        <v>14</v>
      </c>
      <c r="D231">
        <f>HEX2DEC(Tabela1[[#This Row],[ecpriIDstr]])</f>
        <v>41120</v>
      </c>
      <c r="E231">
        <v>0</v>
      </c>
      <c r="F231">
        <v>2</v>
      </c>
      <c r="G231">
        <v>0</v>
      </c>
      <c r="H231">
        <v>229</v>
      </c>
      <c r="I231">
        <v>1</v>
      </c>
      <c r="J231">
        <v>0</v>
      </c>
      <c r="K231">
        <v>1</v>
      </c>
      <c r="L231">
        <v>1</v>
      </c>
      <c r="M231">
        <v>1</v>
      </c>
    </row>
    <row r="232" spans="1:13" x14ac:dyDescent="0.25">
      <c r="A232">
        <v>123</v>
      </c>
      <c r="B232">
        <f>HEX2DEC(Tabela1[[#This Row],[VLANStr]])</f>
        <v>291</v>
      </c>
      <c r="C232" t="s">
        <v>14</v>
      </c>
      <c r="D232">
        <f>HEX2DEC(Tabela1[[#This Row],[ecpriIDstr]])</f>
        <v>41120</v>
      </c>
      <c r="E232">
        <v>0</v>
      </c>
      <c r="F232">
        <v>2</v>
      </c>
      <c r="G232">
        <v>0</v>
      </c>
      <c r="H232">
        <v>230</v>
      </c>
      <c r="I232">
        <v>1</v>
      </c>
      <c r="J232">
        <v>0</v>
      </c>
      <c r="K232">
        <v>1</v>
      </c>
      <c r="L232">
        <v>1</v>
      </c>
      <c r="M232">
        <v>1</v>
      </c>
    </row>
    <row r="233" spans="1:13" x14ac:dyDescent="0.25">
      <c r="A233">
        <v>123</v>
      </c>
      <c r="B233">
        <f>HEX2DEC(Tabela1[[#This Row],[VLANStr]])</f>
        <v>291</v>
      </c>
      <c r="C233" t="s">
        <v>14</v>
      </c>
      <c r="D233">
        <f>HEX2DEC(Tabela1[[#This Row],[ecpriIDstr]])</f>
        <v>41120</v>
      </c>
      <c r="E233">
        <v>0</v>
      </c>
      <c r="F233">
        <v>2</v>
      </c>
      <c r="G233">
        <v>0</v>
      </c>
      <c r="H233">
        <v>231</v>
      </c>
      <c r="I233">
        <v>1</v>
      </c>
      <c r="J233">
        <v>0</v>
      </c>
      <c r="K233">
        <v>1</v>
      </c>
      <c r="L233">
        <v>1</v>
      </c>
      <c r="M233">
        <v>1</v>
      </c>
    </row>
    <row r="234" spans="1:13" x14ac:dyDescent="0.25">
      <c r="A234">
        <v>123</v>
      </c>
      <c r="B234">
        <f>HEX2DEC(Tabela1[[#This Row],[VLANStr]])</f>
        <v>291</v>
      </c>
      <c r="C234" t="s">
        <v>14</v>
      </c>
      <c r="D234">
        <f>HEX2DEC(Tabela1[[#This Row],[ecpriIDstr]])</f>
        <v>41120</v>
      </c>
      <c r="E234">
        <v>0</v>
      </c>
      <c r="F234">
        <v>2</v>
      </c>
      <c r="G234">
        <v>0</v>
      </c>
      <c r="H234">
        <v>232</v>
      </c>
      <c r="I234">
        <v>1</v>
      </c>
      <c r="J234">
        <v>0</v>
      </c>
      <c r="K234">
        <v>1</v>
      </c>
      <c r="L234">
        <v>1</v>
      </c>
      <c r="M234">
        <v>1</v>
      </c>
    </row>
    <row r="235" spans="1:13" x14ac:dyDescent="0.25">
      <c r="A235">
        <v>123</v>
      </c>
      <c r="B235">
        <f>HEX2DEC(Tabela1[[#This Row],[VLANStr]])</f>
        <v>291</v>
      </c>
      <c r="C235" t="s">
        <v>14</v>
      </c>
      <c r="D235">
        <f>HEX2DEC(Tabela1[[#This Row],[ecpriIDstr]])</f>
        <v>41120</v>
      </c>
      <c r="E235">
        <v>0</v>
      </c>
      <c r="F235">
        <v>2</v>
      </c>
      <c r="G235">
        <v>0</v>
      </c>
      <c r="H235">
        <v>233</v>
      </c>
      <c r="I235">
        <v>1</v>
      </c>
      <c r="J235">
        <v>0</v>
      </c>
      <c r="K235">
        <v>1</v>
      </c>
      <c r="L235">
        <v>1</v>
      </c>
      <c r="M235">
        <v>1</v>
      </c>
    </row>
    <row r="236" spans="1:13" x14ac:dyDescent="0.25">
      <c r="A236">
        <v>123</v>
      </c>
      <c r="B236">
        <f>HEX2DEC(Tabela1[[#This Row],[VLANStr]])</f>
        <v>291</v>
      </c>
      <c r="C236" t="s">
        <v>14</v>
      </c>
      <c r="D236">
        <f>HEX2DEC(Tabela1[[#This Row],[ecpriIDstr]])</f>
        <v>41120</v>
      </c>
      <c r="E236">
        <v>0</v>
      </c>
      <c r="F236">
        <v>2</v>
      </c>
      <c r="G236">
        <v>0</v>
      </c>
      <c r="H236">
        <v>234</v>
      </c>
      <c r="I236">
        <v>1</v>
      </c>
      <c r="J236">
        <v>0</v>
      </c>
      <c r="K236">
        <v>1</v>
      </c>
      <c r="L236">
        <v>1</v>
      </c>
      <c r="M236">
        <v>1</v>
      </c>
    </row>
    <row r="237" spans="1:13" x14ac:dyDescent="0.25">
      <c r="A237">
        <v>123</v>
      </c>
      <c r="B237">
        <f>HEX2DEC(Tabela1[[#This Row],[VLANStr]])</f>
        <v>291</v>
      </c>
      <c r="C237" t="s">
        <v>14</v>
      </c>
      <c r="D237">
        <f>HEX2DEC(Tabela1[[#This Row],[ecpriIDstr]])</f>
        <v>41120</v>
      </c>
      <c r="E237">
        <v>0</v>
      </c>
      <c r="F237">
        <v>2</v>
      </c>
      <c r="G237">
        <v>0</v>
      </c>
      <c r="H237">
        <v>235</v>
      </c>
      <c r="I237">
        <v>1</v>
      </c>
      <c r="J237">
        <v>0</v>
      </c>
      <c r="K237">
        <v>1</v>
      </c>
      <c r="L237">
        <v>1</v>
      </c>
      <c r="M237">
        <v>1</v>
      </c>
    </row>
    <row r="238" spans="1:13" x14ac:dyDescent="0.25">
      <c r="A238">
        <v>123</v>
      </c>
      <c r="B238">
        <f>HEX2DEC(Tabela1[[#This Row],[VLANStr]])</f>
        <v>291</v>
      </c>
      <c r="C238" t="s">
        <v>14</v>
      </c>
      <c r="D238">
        <f>HEX2DEC(Tabela1[[#This Row],[ecpriIDstr]])</f>
        <v>41120</v>
      </c>
      <c r="E238">
        <v>0</v>
      </c>
      <c r="F238">
        <v>2</v>
      </c>
      <c r="G238">
        <v>0</v>
      </c>
      <c r="H238">
        <v>236</v>
      </c>
      <c r="I238">
        <v>1</v>
      </c>
      <c r="J238">
        <v>0</v>
      </c>
      <c r="K238">
        <v>1</v>
      </c>
      <c r="L238">
        <v>1</v>
      </c>
      <c r="M238">
        <v>1</v>
      </c>
    </row>
    <row r="239" spans="1:13" x14ac:dyDescent="0.25">
      <c r="A239">
        <v>123</v>
      </c>
      <c r="B239">
        <f>HEX2DEC(Tabela1[[#This Row],[VLANStr]])</f>
        <v>291</v>
      </c>
      <c r="C239" t="s">
        <v>14</v>
      </c>
      <c r="D239">
        <f>HEX2DEC(Tabela1[[#This Row],[ecpriIDstr]])</f>
        <v>41120</v>
      </c>
      <c r="E239">
        <v>0</v>
      </c>
      <c r="F239">
        <v>2</v>
      </c>
      <c r="G239">
        <v>0</v>
      </c>
      <c r="H239">
        <v>237</v>
      </c>
      <c r="I239">
        <v>1</v>
      </c>
      <c r="J239">
        <v>0</v>
      </c>
      <c r="K239">
        <v>1</v>
      </c>
      <c r="L239">
        <v>1</v>
      </c>
      <c r="M239">
        <v>1</v>
      </c>
    </row>
    <row r="240" spans="1:13" x14ac:dyDescent="0.25">
      <c r="A240">
        <v>123</v>
      </c>
      <c r="B240">
        <f>HEX2DEC(Tabela1[[#This Row],[VLANStr]])</f>
        <v>291</v>
      </c>
      <c r="C240" t="s">
        <v>14</v>
      </c>
      <c r="D240">
        <f>HEX2DEC(Tabela1[[#This Row],[ecpriIDstr]])</f>
        <v>41120</v>
      </c>
      <c r="E240">
        <v>0</v>
      </c>
      <c r="F240">
        <v>2</v>
      </c>
      <c r="G240">
        <v>0</v>
      </c>
      <c r="H240">
        <v>238</v>
      </c>
      <c r="I240">
        <v>1</v>
      </c>
      <c r="J240">
        <v>0</v>
      </c>
      <c r="K240">
        <v>1</v>
      </c>
      <c r="L240">
        <v>1</v>
      </c>
      <c r="M240">
        <v>1</v>
      </c>
    </row>
    <row r="241" spans="1:13" x14ac:dyDescent="0.25">
      <c r="A241">
        <v>123</v>
      </c>
      <c r="B241">
        <f>HEX2DEC(Tabela1[[#This Row],[VLANStr]])</f>
        <v>291</v>
      </c>
      <c r="C241" t="s">
        <v>14</v>
      </c>
      <c r="D241">
        <f>HEX2DEC(Tabela1[[#This Row],[ecpriIDstr]])</f>
        <v>41120</v>
      </c>
      <c r="E241">
        <v>0</v>
      </c>
      <c r="F241">
        <v>2</v>
      </c>
      <c r="G241">
        <v>0</v>
      </c>
      <c r="H241">
        <v>239</v>
      </c>
      <c r="I241">
        <v>1</v>
      </c>
      <c r="J241">
        <v>0</v>
      </c>
      <c r="K241">
        <v>1</v>
      </c>
      <c r="L241">
        <v>1</v>
      </c>
      <c r="M241">
        <v>1</v>
      </c>
    </row>
    <row r="242" spans="1:13" x14ac:dyDescent="0.25">
      <c r="A242">
        <v>123</v>
      </c>
      <c r="B242">
        <f>HEX2DEC(Tabela1[[#This Row],[VLANStr]])</f>
        <v>291</v>
      </c>
      <c r="C242" t="s">
        <v>14</v>
      </c>
      <c r="D242">
        <f>HEX2DEC(Tabela1[[#This Row],[ecpriIDstr]])</f>
        <v>41120</v>
      </c>
      <c r="E242">
        <v>0</v>
      </c>
      <c r="F242">
        <v>2</v>
      </c>
      <c r="G242">
        <v>0</v>
      </c>
      <c r="H242">
        <v>240</v>
      </c>
      <c r="I242">
        <v>1</v>
      </c>
      <c r="J242">
        <v>0</v>
      </c>
      <c r="K242">
        <v>1</v>
      </c>
      <c r="L242">
        <v>1</v>
      </c>
      <c r="M242">
        <v>1</v>
      </c>
    </row>
    <row r="243" spans="1:13" x14ac:dyDescent="0.25">
      <c r="A243">
        <v>123</v>
      </c>
      <c r="B243">
        <f>HEX2DEC(Tabela1[[#This Row],[VLANStr]])</f>
        <v>291</v>
      </c>
      <c r="C243" t="s">
        <v>14</v>
      </c>
      <c r="D243">
        <f>HEX2DEC(Tabela1[[#This Row],[ecpriIDstr]])</f>
        <v>41120</v>
      </c>
      <c r="E243">
        <v>0</v>
      </c>
      <c r="F243">
        <v>2</v>
      </c>
      <c r="G243">
        <v>0</v>
      </c>
      <c r="H243">
        <v>241</v>
      </c>
      <c r="I243">
        <v>1</v>
      </c>
      <c r="J243">
        <v>0</v>
      </c>
      <c r="K243">
        <v>1</v>
      </c>
      <c r="L243">
        <v>1</v>
      </c>
      <c r="M243">
        <v>1</v>
      </c>
    </row>
    <row r="244" spans="1:13" x14ac:dyDescent="0.25">
      <c r="A244">
        <v>123</v>
      </c>
      <c r="B244">
        <f>HEX2DEC(Tabela1[[#This Row],[VLANStr]])</f>
        <v>291</v>
      </c>
      <c r="C244" t="s">
        <v>14</v>
      </c>
      <c r="D244">
        <f>HEX2DEC(Tabela1[[#This Row],[ecpriIDstr]])</f>
        <v>41120</v>
      </c>
      <c r="E244">
        <v>0</v>
      </c>
      <c r="F244">
        <v>2</v>
      </c>
      <c r="G244">
        <v>0</v>
      </c>
      <c r="H244">
        <v>242</v>
      </c>
      <c r="I244">
        <v>1</v>
      </c>
      <c r="J244">
        <v>0</v>
      </c>
      <c r="K244">
        <v>1</v>
      </c>
      <c r="L244">
        <v>1</v>
      </c>
      <c r="M244">
        <v>1</v>
      </c>
    </row>
    <row r="245" spans="1:13" x14ac:dyDescent="0.25">
      <c r="A245">
        <v>123</v>
      </c>
      <c r="B245">
        <f>HEX2DEC(Tabela1[[#This Row],[VLANStr]])</f>
        <v>291</v>
      </c>
      <c r="C245" t="s">
        <v>14</v>
      </c>
      <c r="D245">
        <f>HEX2DEC(Tabela1[[#This Row],[ecpriIDstr]])</f>
        <v>41120</v>
      </c>
      <c r="E245">
        <v>0</v>
      </c>
      <c r="F245">
        <v>2</v>
      </c>
      <c r="G245">
        <v>0</v>
      </c>
      <c r="H245">
        <v>243</v>
      </c>
      <c r="I245">
        <v>1</v>
      </c>
      <c r="J245">
        <v>0</v>
      </c>
      <c r="K245">
        <v>1</v>
      </c>
      <c r="L245">
        <v>1</v>
      </c>
      <c r="M245">
        <v>1</v>
      </c>
    </row>
    <row r="246" spans="1:13" x14ac:dyDescent="0.25">
      <c r="A246">
        <v>123</v>
      </c>
      <c r="B246">
        <f>HEX2DEC(Tabela1[[#This Row],[VLANStr]])</f>
        <v>291</v>
      </c>
      <c r="C246" t="s">
        <v>14</v>
      </c>
      <c r="D246">
        <f>HEX2DEC(Tabela1[[#This Row],[ecpriIDstr]])</f>
        <v>41120</v>
      </c>
      <c r="E246">
        <v>0</v>
      </c>
      <c r="F246">
        <v>2</v>
      </c>
      <c r="G246">
        <v>0</v>
      </c>
      <c r="H246">
        <v>244</v>
      </c>
      <c r="I246">
        <v>1</v>
      </c>
      <c r="J246">
        <v>0</v>
      </c>
      <c r="K246">
        <v>1</v>
      </c>
      <c r="L246">
        <v>1</v>
      </c>
      <c r="M246">
        <v>1</v>
      </c>
    </row>
    <row r="247" spans="1:13" x14ac:dyDescent="0.25">
      <c r="A247">
        <v>123</v>
      </c>
      <c r="B247">
        <f>HEX2DEC(Tabela1[[#This Row],[VLANStr]])</f>
        <v>291</v>
      </c>
      <c r="C247" t="s">
        <v>14</v>
      </c>
      <c r="D247">
        <f>HEX2DEC(Tabela1[[#This Row],[ecpriIDstr]])</f>
        <v>41120</v>
      </c>
      <c r="E247">
        <v>0</v>
      </c>
      <c r="F247">
        <v>2</v>
      </c>
      <c r="G247">
        <v>0</v>
      </c>
      <c r="H247">
        <v>245</v>
      </c>
      <c r="I247">
        <v>1</v>
      </c>
      <c r="J247">
        <v>0</v>
      </c>
      <c r="K247">
        <v>1</v>
      </c>
      <c r="L247">
        <v>1</v>
      </c>
      <c r="M247">
        <v>1</v>
      </c>
    </row>
    <row r="248" spans="1:13" x14ac:dyDescent="0.25">
      <c r="A248">
        <v>123</v>
      </c>
      <c r="B248">
        <f>HEX2DEC(Tabela1[[#This Row],[VLANStr]])</f>
        <v>291</v>
      </c>
      <c r="C248" t="s">
        <v>14</v>
      </c>
      <c r="D248">
        <f>HEX2DEC(Tabela1[[#This Row],[ecpriIDstr]])</f>
        <v>41120</v>
      </c>
      <c r="E248">
        <v>0</v>
      </c>
      <c r="F248">
        <v>2</v>
      </c>
      <c r="G248">
        <v>0</v>
      </c>
      <c r="H248">
        <v>246</v>
      </c>
      <c r="I248">
        <v>1</v>
      </c>
      <c r="J248">
        <v>0</v>
      </c>
      <c r="K248">
        <v>1</v>
      </c>
      <c r="L248">
        <v>1</v>
      </c>
      <c r="M248">
        <v>1</v>
      </c>
    </row>
    <row r="249" spans="1:13" x14ac:dyDescent="0.25">
      <c r="A249">
        <v>123</v>
      </c>
      <c r="B249">
        <f>HEX2DEC(Tabela1[[#This Row],[VLANStr]])</f>
        <v>291</v>
      </c>
      <c r="C249" t="s">
        <v>14</v>
      </c>
      <c r="D249">
        <f>HEX2DEC(Tabela1[[#This Row],[ecpriIDstr]])</f>
        <v>41120</v>
      </c>
      <c r="E249">
        <v>0</v>
      </c>
      <c r="F249">
        <v>2</v>
      </c>
      <c r="G249">
        <v>0</v>
      </c>
      <c r="H249">
        <v>247</v>
      </c>
      <c r="I249">
        <v>1</v>
      </c>
      <c r="J249">
        <v>0</v>
      </c>
      <c r="K249">
        <v>1</v>
      </c>
      <c r="L249">
        <v>1</v>
      </c>
      <c r="M249">
        <v>1</v>
      </c>
    </row>
    <row r="250" spans="1:13" x14ac:dyDescent="0.25">
      <c r="A250">
        <v>123</v>
      </c>
      <c r="B250">
        <f>HEX2DEC(Tabela1[[#This Row],[VLANStr]])</f>
        <v>291</v>
      </c>
      <c r="C250" t="s">
        <v>14</v>
      </c>
      <c r="D250">
        <f>HEX2DEC(Tabela1[[#This Row],[ecpriIDstr]])</f>
        <v>41120</v>
      </c>
      <c r="E250">
        <v>0</v>
      </c>
      <c r="F250">
        <v>2</v>
      </c>
      <c r="G250">
        <v>0</v>
      </c>
      <c r="H250">
        <v>248</v>
      </c>
      <c r="I250">
        <v>1</v>
      </c>
      <c r="J250">
        <v>0</v>
      </c>
      <c r="K250">
        <v>1</v>
      </c>
      <c r="L250">
        <v>1</v>
      </c>
      <c r="M250">
        <v>1</v>
      </c>
    </row>
    <row r="251" spans="1:13" x14ac:dyDescent="0.25">
      <c r="A251">
        <v>123</v>
      </c>
      <c r="B251">
        <f>HEX2DEC(Tabela1[[#This Row],[VLANStr]])</f>
        <v>291</v>
      </c>
      <c r="C251" t="s">
        <v>14</v>
      </c>
      <c r="D251">
        <f>HEX2DEC(Tabela1[[#This Row],[ecpriIDstr]])</f>
        <v>41120</v>
      </c>
      <c r="E251">
        <v>0</v>
      </c>
      <c r="F251">
        <v>2</v>
      </c>
      <c r="G251">
        <v>0</v>
      </c>
      <c r="H251">
        <v>249</v>
      </c>
      <c r="I251">
        <v>1</v>
      </c>
      <c r="J251">
        <v>0</v>
      </c>
      <c r="K251">
        <v>1</v>
      </c>
      <c r="L251">
        <v>1</v>
      </c>
      <c r="M251">
        <v>1</v>
      </c>
    </row>
    <row r="252" spans="1:13" x14ac:dyDescent="0.25">
      <c r="A252">
        <v>123</v>
      </c>
      <c r="B252">
        <f>HEX2DEC(Tabela1[[#This Row],[VLANStr]])</f>
        <v>291</v>
      </c>
      <c r="C252" t="s">
        <v>14</v>
      </c>
      <c r="D252">
        <f>HEX2DEC(Tabela1[[#This Row],[ecpriIDstr]])</f>
        <v>41120</v>
      </c>
      <c r="E252">
        <v>0</v>
      </c>
      <c r="F252">
        <v>2</v>
      </c>
      <c r="G252">
        <v>0</v>
      </c>
      <c r="H252">
        <v>250</v>
      </c>
      <c r="I252">
        <v>1</v>
      </c>
      <c r="J252">
        <v>0</v>
      </c>
      <c r="K252">
        <v>1</v>
      </c>
      <c r="L252">
        <v>1</v>
      </c>
      <c r="M252">
        <v>1</v>
      </c>
    </row>
    <row r="253" spans="1:13" x14ac:dyDescent="0.25">
      <c r="A253">
        <v>123</v>
      </c>
      <c r="B253">
        <f>HEX2DEC(Tabela1[[#This Row],[VLANStr]])</f>
        <v>291</v>
      </c>
      <c r="C253" t="s">
        <v>14</v>
      </c>
      <c r="D253">
        <f>HEX2DEC(Tabela1[[#This Row],[ecpriIDstr]])</f>
        <v>41120</v>
      </c>
      <c r="E253">
        <v>0</v>
      </c>
      <c r="F253">
        <v>2</v>
      </c>
      <c r="G253">
        <v>0</v>
      </c>
      <c r="H253">
        <v>251</v>
      </c>
      <c r="I253">
        <v>1</v>
      </c>
      <c r="J253">
        <v>0</v>
      </c>
      <c r="K253">
        <v>1</v>
      </c>
      <c r="L253">
        <v>1</v>
      </c>
      <c r="M253">
        <v>1</v>
      </c>
    </row>
    <row r="254" spans="1:13" x14ac:dyDescent="0.25">
      <c r="A254">
        <v>123</v>
      </c>
      <c r="B254">
        <f>HEX2DEC(Tabela1[[#This Row],[VLANStr]])</f>
        <v>291</v>
      </c>
      <c r="C254" t="s">
        <v>14</v>
      </c>
      <c r="D254">
        <f>HEX2DEC(Tabela1[[#This Row],[ecpriIDstr]])</f>
        <v>41120</v>
      </c>
      <c r="E254">
        <v>0</v>
      </c>
      <c r="F254">
        <v>2</v>
      </c>
      <c r="G254">
        <v>0</v>
      </c>
      <c r="H254">
        <v>252</v>
      </c>
      <c r="I254">
        <v>1</v>
      </c>
      <c r="J254">
        <v>0</v>
      </c>
      <c r="K254">
        <v>1</v>
      </c>
      <c r="L254">
        <v>1</v>
      </c>
      <c r="M254">
        <v>1</v>
      </c>
    </row>
    <row r="255" spans="1:13" x14ac:dyDescent="0.25">
      <c r="A255">
        <v>123</v>
      </c>
      <c r="B255">
        <f>HEX2DEC(Tabela1[[#This Row],[VLANStr]])</f>
        <v>291</v>
      </c>
      <c r="C255" t="s">
        <v>14</v>
      </c>
      <c r="D255">
        <f>HEX2DEC(Tabela1[[#This Row],[ecpriIDstr]])</f>
        <v>41120</v>
      </c>
      <c r="E255">
        <v>0</v>
      </c>
      <c r="F255">
        <v>2</v>
      </c>
      <c r="G255">
        <v>0</v>
      </c>
      <c r="H255">
        <v>253</v>
      </c>
      <c r="I255">
        <v>1</v>
      </c>
      <c r="J255">
        <v>0</v>
      </c>
      <c r="K255">
        <v>1</v>
      </c>
      <c r="L255">
        <v>1</v>
      </c>
      <c r="M255">
        <v>1</v>
      </c>
    </row>
    <row r="256" spans="1:13" x14ac:dyDescent="0.25">
      <c r="A256">
        <v>123</v>
      </c>
      <c r="B256">
        <f>HEX2DEC(Tabela1[[#This Row],[VLANStr]])</f>
        <v>291</v>
      </c>
      <c r="C256" t="s">
        <v>14</v>
      </c>
      <c r="D256">
        <f>HEX2DEC(Tabela1[[#This Row],[ecpriIDstr]])</f>
        <v>41120</v>
      </c>
      <c r="E256">
        <v>0</v>
      </c>
      <c r="F256">
        <v>2</v>
      </c>
      <c r="G256">
        <v>0</v>
      </c>
      <c r="H256">
        <v>254</v>
      </c>
      <c r="I256">
        <v>1</v>
      </c>
      <c r="J256">
        <v>0</v>
      </c>
      <c r="K256">
        <v>1</v>
      </c>
      <c r="L256">
        <v>1</v>
      </c>
      <c r="M256">
        <v>1</v>
      </c>
    </row>
    <row r="257" spans="1:13" x14ac:dyDescent="0.25">
      <c r="A257">
        <v>123</v>
      </c>
      <c r="B257">
        <f>HEX2DEC(Tabela1[[#This Row],[VLANStr]])</f>
        <v>291</v>
      </c>
      <c r="C257" t="s">
        <v>14</v>
      </c>
      <c r="D257">
        <f>HEX2DEC(Tabela1[[#This Row],[ecpriIDstr]])</f>
        <v>41120</v>
      </c>
      <c r="E257">
        <v>0</v>
      </c>
      <c r="F257">
        <v>2</v>
      </c>
      <c r="G257">
        <v>0</v>
      </c>
      <c r="H257">
        <v>255</v>
      </c>
      <c r="I257">
        <v>1</v>
      </c>
      <c r="J257">
        <v>0</v>
      </c>
      <c r="K257">
        <v>1</v>
      </c>
      <c r="L257">
        <v>1</v>
      </c>
      <c r="M257">
        <v>1</v>
      </c>
    </row>
    <row r="258" spans="1:13" x14ac:dyDescent="0.25">
      <c r="A258">
        <v>123</v>
      </c>
      <c r="B258">
        <f>HEX2DEC(Tabela1[[#This Row],[VLANStr]])</f>
        <v>291</v>
      </c>
      <c r="C258" t="s">
        <v>14</v>
      </c>
      <c r="D258">
        <f>HEX2DEC(Tabela1[[#This Row],[ecpriIDstr]])</f>
        <v>41120</v>
      </c>
      <c r="E258">
        <v>0</v>
      </c>
      <c r="F258">
        <v>2</v>
      </c>
      <c r="G258">
        <v>0</v>
      </c>
      <c r="H258">
        <v>256</v>
      </c>
      <c r="I258">
        <v>1</v>
      </c>
      <c r="J258">
        <v>0</v>
      </c>
      <c r="K258">
        <v>1</v>
      </c>
      <c r="L258">
        <v>1</v>
      </c>
      <c r="M258">
        <v>1</v>
      </c>
    </row>
    <row r="259" spans="1:13" x14ac:dyDescent="0.25">
      <c r="A259">
        <v>123</v>
      </c>
      <c r="B259">
        <f>HEX2DEC(Tabela1[[#This Row],[VLANStr]])</f>
        <v>291</v>
      </c>
      <c r="C259" t="s">
        <v>14</v>
      </c>
      <c r="D259">
        <f>HEX2DEC(Tabela1[[#This Row],[ecpriIDstr]])</f>
        <v>41120</v>
      </c>
      <c r="E259">
        <v>0</v>
      </c>
      <c r="F259">
        <v>2</v>
      </c>
      <c r="G259">
        <v>0</v>
      </c>
      <c r="H259">
        <v>257</v>
      </c>
      <c r="I259">
        <v>1</v>
      </c>
      <c r="J259">
        <v>0</v>
      </c>
      <c r="K259">
        <v>1</v>
      </c>
      <c r="L259">
        <v>1</v>
      </c>
      <c r="M259">
        <v>1</v>
      </c>
    </row>
    <row r="260" spans="1:13" x14ac:dyDescent="0.25">
      <c r="A260">
        <v>123</v>
      </c>
      <c r="B260">
        <f>HEX2DEC(Tabela1[[#This Row],[VLANStr]])</f>
        <v>291</v>
      </c>
      <c r="C260" t="s">
        <v>14</v>
      </c>
      <c r="D260">
        <f>HEX2DEC(Tabela1[[#This Row],[ecpriIDstr]])</f>
        <v>41120</v>
      </c>
      <c r="E260">
        <v>0</v>
      </c>
      <c r="F260">
        <v>2</v>
      </c>
      <c r="G260">
        <v>0</v>
      </c>
      <c r="H260">
        <v>258</v>
      </c>
      <c r="I260">
        <v>1</v>
      </c>
      <c r="J260">
        <v>0</v>
      </c>
      <c r="K260">
        <v>1</v>
      </c>
      <c r="L260">
        <v>1</v>
      </c>
      <c r="M260">
        <v>1</v>
      </c>
    </row>
    <row r="261" spans="1:13" x14ac:dyDescent="0.25">
      <c r="A261">
        <v>123</v>
      </c>
      <c r="B261">
        <f>HEX2DEC(Tabela1[[#This Row],[VLANStr]])</f>
        <v>291</v>
      </c>
      <c r="C261" t="s">
        <v>14</v>
      </c>
      <c r="D261">
        <f>HEX2DEC(Tabela1[[#This Row],[ecpriIDstr]])</f>
        <v>41120</v>
      </c>
      <c r="E261">
        <v>0</v>
      </c>
      <c r="F261">
        <v>2</v>
      </c>
      <c r="G261">
        <v>0</v>
      </c>
      <c r="H261">
        <v>259</v>
      </c>
      <c r="I261">
        <v>1</v>
      </c>
      <c r="J261">
        <v>0</v>
      </c>
      <c r="K261">
        <v>1</v>
      </c>
      <c r="L261">
        <v>1</v>
      </c>
      <c r="M261">
        <v>1</v>
      </c>
    </row>
    <row r="262" spans="1:13" x14ac:dyDescent="0.25">
      <c r="A262">
        <v>123</v>
      </c>
      <c r="B262">
        <f>HEX2DEC(Tabela1[[#This Row],[VLANStr]])</f>
        <v>291</v>
      </c>
      <c r="C262" t="s">
        <v>14</v>
      </c>
      <c r="D262">
        <f>HEX2DEC(Tabela1[[#This Row],[ecpriIDstr]])</f>
        <v>41120</v>
      </c>
      <c r="E262">
        <v>0</v>
      </c>
      <c r="F262">
        <v>2</v>
      </c>
      <c r="G262">
        <v>0</v>
      </c>
      <c r="H262">
        <v>260</v>
      </c>
      <c r="I262">
        <v>1</v>
      </c>
      <c r="J262">
        <v>0</v>
      </c>
      <c r="K262">
        <v>1</v>
      </c>
      <c r="L262">
        <v>1</v>
      </c>
      <c r="M262">
        <v>1</v>
      </c>
    </row>
    <row r="263" spans="1:13" x14ac:dyDescent="0.25">
      <c r="A263">
        <v>123</v>
      </c>
      <c r="B263">
        <f>HEX2DEC(Tabela1[[#This Row],[VLANStr]])</f>
        <v>291</v>
      </c>
      <c r="C263" t="s">
        <v>14</v>
      </c>
      <c r="D263">
        <f>HEX2DEC(Tabela1[[#This Row],[ecpriIDstr]])</f>
        <v>41120</v>
      </c>
      <c r="E263">
        <v>0</v>
      </c>
      <c r="F263">
        <v>2</v>
      </c>
      <c r="G263">
        <v>0</v>
      </c>
      <c r="H263">
        <v>261</v>
      </c>
      <c r="I263">
        <v>1</v>
      </c>
      <c r="J263">
        <v>0</v>
      </c>
      <c r="K263">
        <v>1</v>
      </c>
      <c r="L263">
        <v>1</v>
      </c>
      <c r="M263">
        <v>1</v>
      </c>
    </row>
    <row r="264" spans="1:13" x14ac:dyDescent="0.25">
      <c r="A264">
        <v>123</v>
      </c>
      <c r="B264">
        <f>HEX2DEC(Tabela1[[#This Row],[VLANStr]])</f>
        <v>291</v>
      </c>
      <c r="C264" t="s">
        <v>14</v>
      </c>
      <c r="D264">
        <f>HEX2DEC(Tabela1[[#This Row],[ecpriIDstr]])</f>
        <v>41120</v>
      </c>
      <c r="E264">
        <v>0</v>
      </c>
      <c r="F264">
        <v>2</v>
      </c>
      <c r="G264">
        <v>0</v>
      </c>
      <c r="H264">
        <v>262</v>
      </c>
      <c r="I264">
        <v>1</v>
      </c>
      <c r="J264">
        <v>0</v>
      </c>
      <c r="K264">
        <v>1</v>
      </c>
      <c r="L264">
        <v>1</v>
      </c>
      <c r="M264">
        <v>1</v>
      </c>
    </row>
    <row r="265" spans="1:13" x14ac:dyDescent="0.25">
      <c r="A265">
        <v>123</v>
      </c>
      <c r="B265">
        <f>HEX2DEC(Tabela1[[#This Row],[VLANStr]])</f>
        <v>291</v>
      </c>
      <c r="C265" t="s">
        <v>14</v>
      </c>
      <c r="D265">
        <f>HEX2DEC(Tabela1[[#This Row],[ecpriIDstr]])</f>
        <v>41120</v>
      </c>
      <c r="E265">
        <v>0</v>
      </c>
      <c r="F265">
        <v>2</v>
      </c>
      <c r="G265">
        <v>0</v>
      </c>
      <c r="H265">
        <v>263</v>
      </c>
      <c r="I265">
        <v>1</v>
      </c>
      <c r="J265">
        <v>0</v>
      </c>
      <c r="K265">
        <v>1</v>
      </c>
      <c r="L265">
        <v>1</v>
      </c>
      <c r="M265">
        <v>1</v>
      </c>
    </row>
    <row r="266" spans="1:13" x14ac:dyDescent="0.25">
      <c r="A266">
        <v>123</v>
      </c>
      <c r="B266">
        <f>HEX2DEC(Tabela1[[#This Row],[VLANStr]])</f>
        <v>291</v>
      </c>
      <c r="C266" t="s">
        <v>14</v>
      </c>
      <c r="D266">
        <f>HEX2DEC(Tabela1[[#This Row],[ecpriIDstr]])</f>
        <v>41120</v>
      </c>
      <c r="E266">
        <v>0</v>
      </c>
      <c r="F266">
        <v>2</v>
      </c>
      <c r="G266">
        <v>0</v>
      </c>
      <c r="H266">
        <v>264</v>
      </c>
      <c r="I266">
        <v>1</v>
      </c>
      <c r="J266">
        <v>0</v>
      </c>
      <c r="K266">
        <v>1</v>
      </c>
      <c r="L266">
        <v>1</v>
      </c>
      <c r="M266">
        <v>1</v>
      </c>
    </row>
    <row r="267" spans="1:13" x14ac:dyDescent="0.25">
      <c r="A267">
        <v>123</v>
      </c>
      <c r="B267">
        <f>HEX2DEC(Tabela1[[#This Row],[VLANStr]])</f>
        <v>291</v>
      </c>
      <c r="C267" t="s">
        <v>14</v>
      </c>
      <c r="D267">
        <f>HEX2DEC(Tabela1[[#This Row],[ecpriIDstr]])</f>
        <v>41120</v>
      </c>
      <c r="E267">
        <v>0</v>
      </c>
      <c r="F267">
        <v>2</v>
      </c>
      <c r="G267">
        <v>0</v>
      </c>
      <c r="H267">
        <v>265</v>
      </c>
      <c r="I267">
        <v>1</v>
      </c>
      <c r="J267">
        <v>0</v>
      </c>
      <c r="K267">
        <v>1</v>
      </c>
      <c r="L267">
        <v>1</v>
      </c>
      <c r="M267">
        <v>1</v>
      </c>
    </row>
    <row r="268" spans="1:13" x14ac:dyDescent="0.25">
      <c r="A268">
        <v>123</v>
      </c>
      <c r="B268">
        <f>HEX2DEC(Tabela1[[#This Row],[VLANStr]])</f>
        <v>291</v>
      </c>
      <c r="C268" t="s">
        <v>14</v>
      </c>
      <c r="D268">
        <f>HEX2DEC(Tabela1[[#This Row],[ecpriIDstr]])</f>
        <v>41120</v>
      </c>
      <c r="E268">
        <v>0</v>
      </c>
      <c r="F268">
        <v>2</v>
      </c>
      <c r="G268">
        <v>0</v>
      </c>
      <c r="H268">
        <v>266</v>
      </c>
      <c r="I268">
        <v>1</v>
      </c>
      <c r="J268">
        <v>0</v>
      </c>
      <c r="K268">
        <v>1</v>
      </c>
      <c r="L268">
        <v>1</v>
      </c>
      <c r="M268">
        <v>1</v>
      </c>
    </row>
    <row r="269" spans="1:13" x14ac:dyDescent="0.25">
      <c r="A269">
        <v>123</v>
      </c>
      <c r="B269">
        <f>HEX2DEC(Tabela1[[#This Row],[VLANStr]])</f>
        <v>291</v>
      </c>
      <c r="C269" t="s">
        <v>14</v>
      </c>
      <c r="D269">
        <f>HEX2DEC(Tabela1[[#This Row],[ecpriIDstr]])</f>
        <v>41120</v>
      </c>
      <c r="E269">
        <v>0</v>
      </c>
      <c r="F269">
        <v>2</v>
      </c>
      <c r="G269">
        <v>0</v>
      </c>
      <c r="H269">
        <v>267</v>
      </c>
      <c r="I269">
        <v>1</v>
      </c>
      <c r="J269">
        <v>0</v>
      </c>
      <c r="K269">
        <v>1</v>
      </c>
      <c r="L269">
        <v>1</v>
      </c>
      <c r="M269">
        <v>1</v>
      </c>
    </row>
    <row r="270" spans="1:13" x14ac:dyDescent="0.25">
      <c r="A270">
        <v>123</v>
      </c>
      <c r="B270">
        <f>HEX2DEC(Tabela1[[#This Row],[VLANStr]])</f>
        <v>291</v>
      </c>
      <c r="C270" t="s">
        <v>14</v>
      </c>
      <c r="D270">
        <f>HEX2DEC(Tabela1[[#This Row],[ecpriIDstr]])</f>
        <v>41120</v>
      </c>
      <c r="E270">
        <v>0</v>
      </c>
      <c r="F270">
        <v>2</v>
      </c>
      <c r="G270">
        <v>0</v>
      </c>
      <c r="H270">
        <v>268</v>
      </c>
      <c r="I270">
        <v>1</v>
      </c>
      <c r="J270">
        <v>0</v>
      </c>
      <c r="K270">
        <v>1</v>
      </c>
      <c r="L270">
        <v>1</v>
      </c>
      <c r="M270">
        <v>1</v>
      </c>
    </row>
    <row r="271" spans="1:13" x14ac:dyDescent="0.25">
      <c r="A271">
        <v>123</v>
      </c>
      <c r="B271">
        <f>HEX2DEC(Tabela1[[#This Row],[VLANStr]])</f>
        <v>291</v>
      </c>
      <c r="C271" t="s">
        <v>14</v>
      </c>
      <c r="D271">
        <f>HEX2DEC(Tabela1[[#This Row],[ecpriIDstr]])</f>
        <v>41120</v>
      </c>
      <c r="E271">
        <v>0</v>
      </c>
      <c r="F271">
        <v>2</v>
      </c>
      <c r="G271">
        <v>0</v>
      </c>
      <c r="H271">
        <v>269</v>
      </c>
      <c r="I271">
        <v>1</v>
      </c>
      <c r="J271">
        <v>0</v>
      </c>
      <c r="K271">
        <v>1</v>
      </c>
      <c r="L271">
        <v>1</v>
      </c>
      <c r="M271">
        <v>1</v>
      </c>
    </row>
    <row r="272" spans="1:13" x14ac:dyDescent="0.25">
      <c r="A272">
        <v>123</v>
      </c>
      <c r="B272">
        <f>HEX2DEC(Tabela1[[#This Row],[VLANStr]])</f>
        <v>291</v>
      </c>
      <c r="C272" t="s">
        <v>14</v>
      </c>
      <c r="D272">
        <f>HEX2DEC(Tabela1[[#This Row],[ecpriIDstr]])</f>
        <v>41120</v>
      </c>
      <c r="E272">
        <v>0</v>
      </c>
      <c r="F272">
        <v>2</v>
      </c>
      <c r="G272">
        <v>0</v>
      </c>
      <c r="H272">
        <v>270</v>
      </c>
      <c r="I272">
        <v>1</v>
      </c>
      <c r="J272">
        <v>0</v>
      </c>
      <c r="K272">
        <v>1</v>
      </c>
      <c r="L272">
        <v>1</v>
      </c>
      <c r="M272">
        <v>1</v>
      </c>
    </row>
    <row r="273" spans="1:13" x14ac:dyDescent="0.25">
      <c r="A273">
        <v>123</v>
      </c>
      <c r="B273">
        <f>HEX2DEC(Tabela1[[#This Row],[VLANStr]])</f>
        <v>291</v>
      </c>
      <c r="C273" t="s">
        <v>14</v>
      </c>
      <c r="D273">
        <f>HEX2DEC(Tabela1[[#This Row],[ecpriIDstr]])</f>
        <v>41120</v>
      </c>
      <c r="E273">
        <v>0</v>
      </c>
      <c r="F273">
        <v>2</v>
      </c>
      <c r="G273">
        <v>0</v>
      </c>
      <c r="H273">
        <v>271</v>
      </c>
      <c r="I273">
        <v>1</v>
      </c>
      <c r="J273">
        <v>0</v>
      </c>
      <c r="K273">
        <v>1</v>
      </c>
      <c r="L273">
        <v>1</v>
      </c>
      <c r="M273">
        <v>1</v>
      </c>
    </row>
    <row r="274" spans="1:13" x14ac:dyDescent="0.25">
      <c r="A274">
        <v>123</v>
      </c>
      <c r="B274">
        <f>HEX2DEC(Tabela1[[#This Row],[VLANStr]])</f>
        <v>291</v>
      </c>
      <c r="C274" t="s">
        <v>14</v>
      </c>
      <c r="D274">
        <f>HEX2DEC(Tabela1[[#This Row],[ecpriIDstr]])</f>
        <v>41120</v>
      </c>
      <c r="E274">
        <v>0</v>
      </c>
      <c r="F274">
        <v>2</v>
      </c>
      <c r="G274">
        <v>0</v>
      </c>
      <c r="H274">
        <v>272</v>
      </c>
      <c r="I274">
        <v>1</v>
      </c>
      <c r="J274">
        <v>0</v>
      </c>
      <c r="K274">
        <v>1</v>
      </c>
      <c r="L274">
        <v>1</v>
      </c>
      <c r="M274">
        <v>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1763-E84F-4C7C-9211-CBB191D6F062}">
  <dimension ref="A1:M2"/>
  <sheetViews>
    <sheetView workbookViewId="0">
      <selection activeCell="T11" sqref="T11"/>
    </sheetView>
  </sheetViews>
  <sheetFormatPr defaultRowHeight="15" x14ac:dyDescent="0.25"/>
  <cols>
    <col min="1" max="1" width="10.42578125" customWidth="1"/>
    <col min="2" max="2" width="0" hidden="1" customWidth="1"/>
    <col min="3" max="3" width="11.7109375" customWidth="1"/>
    <col min="4" max="4" width="9.42578125" hidden="1" customWidth="1"/>
    <col min="5" max="5" width="10.5703125" customWidth="1"/>
    <col min="6" max="6" width="13.5703125" customWidth="1"/>
    <col min="8" max="8" width="10.7109375" customWidth="1"/>
    <col min="10" max="10" width="12.140625" customWidth="1"/>
  </cols>
  <sheetData>
    <row r="1" spans="1:13" x14ac:dyDescent="0.25">
      <c r="A1" s="2" t="s">
        <v>6</v>
      </c>
      <c r="B1" s="2" t="s">
        <v>5</v>
      </c>
      <c r="C1" s="2" t="s">
        <v>10</v>
      </c>
      <c r="D1" s="2" t="s">
        <v>4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7</v>
      </c>
      <c r="J1" s="2" t="s">
        <v>8</v>
      </c>
      <c r="K1" s="2" t="s">
        <v>9</v>
      </c>
      <c r="L1" s="2" t="s">
        <v>12</v>
      </c>
      <c r="M1" s="2" t="s">
        <v>13</v>
      </c>
    </row>
    <row r="2" spans="1:13" x14ac:dyDescent="0.25">
      <c r="A2" s="1">
        <v>123</v>
      </c>
      <c r="B2" s="1">
        <f>HEX2DEC(Tabela24[[#This Row],[VLANStr]])</f>
        <v>291</v>
      </c>
      <c r="C2" s="1" t="s">
        <v>14</v>
      </c>
      <c r="D2" s="1">
        <f>HEX2DEC(Tabela24[[#This Row],[ecpriIDstr]])</f>
        <v>41120</v>
      </c>
      <c r="E2" s="1">
        <v>0</v>
      </c>
      <c r="F2" s="1">
        <v>1</v>
      </c>
      <c r="G2" s="1">
        <v>0</v>
      </c>
      <c r="H2" s="1">
        <v>0</v>
      </c>
      <c r="I2" s="1">
        <v>120</v>
      </c>
      <c r="J2" s="1">
        <v>0</v>
      </c>
      <c r="K2" s="1">
        <v>1</v>
      </c>
      <c r="L2" s="1">
        <v>1</v>
      </c>
      <c r="M2" s="1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0241-642E-4B5D-9127-C83DFAA8D3FD}">
  <dimension ref="A1:M3"/>
  <sheetViews>
    <sheetView workbookViewId="0">
      <selection sqref="A1:E1048576"/>
    </sheetView>
  </sheetViews>
  <sheetFormatPr defaultRowHeight="15" x14ac:dyDescent="0.25"/>
  <cols>
    <col min="1" max="1" width="10.42578125" customWidth="1"/>
    <col min="2" max="2" width="0" hidden="1" customWidth="1"/>
    <col min="3" max="3" width="11.7109375" customWidth="1"/>
    <col min="4" max="4" width="9.42578125" hidden="1" customWidth="1"/>
    <col min="5" max="5" width="10.5703125" customWidth="1"/>
    <col min="6" max="6" width="13.5703125" customWidth="1"/>
    <col min="8" max="8" width="10.7109375" customWidth="1"/>
    <col min="10" max="10" width="12.140625" customWidth="1"/>
  </cols>
  <sheetData>
    <row r="1" spans="1:13" x14ac:dyDescent="0.25">
      <c r="A1" s="2" t="s">
        <v>6</v>
      </c>
      <c r="B1" s="2" t="s">
        <v>5</v>
      </c>
      <c r="C1" s="2" t="s">
        <v>10</v>
      </c>
      <c r="D1" s="2" t="s">
        <v>4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7</v>
      </c>
      <c r="J1" s="2" t="s">
        <v>8</v>
      </c>
      <c r="K1" s="2" t="s">
        <v>9</v>
      </c>
      <c r="L1" s="2" t="s">
        <v>12</v>
      </c>
      <c r="M1" s="2" t="s">
        <v>13</v>
      </c>
    </row>
    <row r="2" spans="1:13" x14ac:dyDescent="0.25">
      <c r="A2" s="1">
        <v>123</v>
      </c>
      <c r="B2" s="1">
        <f>HEX2DEC(Tabela2[[#This Row],[VLANStr]])</f>
        <v>291</v>
      </c>
      <c r="C2" s="1" t="s">
        <v>14</v>
      </c>
      <c r="D2" s="1">
        <f>HEX2DEC(Tabela2[[#This Row],[ecpriIDstr]])</f>
        <v>41120</v>
      </c>
      <c r="E2" s="1">
        <v>0</v>
      </c>
      <c r="F2" s="1">
        <v>1</v>
      </c>
      <c r="G2" s="1">
        <v>0</v>
      </c>
      <c r="H2" s="1">
        <v>0</v>
      </c>
      <c r="I2" s="1">
        <v>1</v>
      </c>
      <c r="J2" s="1">
        <v>0</v>
      </c>
      <c r="K2" s="1">
        <v>1</v>
      </c>
      <c r="L2" s="1">
        <v>1</v>
      </c>
      <c r="M2" s="1">
        <v>1</v>
      </c>
    </row>
    <row r="3" spans="1:13" x14ac:dyDescent="0.25">
      <c r="A3" s="3">
        <v>123</v>
      </c>
      <c r="B3" s="3">
        <f>HEX2DEC(Tabela2[[#This Row],[VLANStr]])</f>
        <v>291</v>
      </c>
      <c r="C3" s="3" t="s">
        <v>11</v>
      </c>
      <c r="D3" s="3">
        <f>HEX2DEC(Tabela2[[#This Row],[ecpriIDstr]])</f>
        <v>41136</v>
      </c>
      <c r="E3" s="3">
        <v>0</v>
      </c>
      <c r="F3" s="3">
        <v>1</v>
      </c>
      <c r="G3" s="3">
        <v>0</v>
      </c>
      <c r="H3" s="3">
        <v>1</v>
      </c>
      <c r="I3" s="3">
        <v>1</v>
      </c>
      <c r="J3" s="3">
        <v>0</v>
      </c>
      <c r="K3" s="3">
        <v>1</v>
      </c>
      <c r="L3" s="3">
        <v>1</v>
      </c>
      <c r="M3" s="3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1AE5-8440-4FAB-ADCA-91E08BFA8E10}">
  <dimension ref="A1:M3"/>
  <sheetViews>
    <sheetView workbookViewId="0">
      <selection activeCell="M7" sqref="M7"/>
    </sheetView>
  </sheetViews>
  <sheetFormatPr defaultRowHeight="15" x14ac:dyDescent="0.25"/>
  <cols>
    <col min="1" max="1" width="10.42578125" customWidth="1"/>
    <col min="2" max="2" width="0" hidden="1" customWidth="1"/>
    <col min="3" max="3" width="11.7109375" customWidth="1"/>
    <col min="4" max="4" width="9.42578125" hidden="1" customWidth="1"/>
    <col min="5" max="5" width="10.5703125" customWidth="1"/>
    <col min="6" max="6" width="13.5703125" customWidth="1"/>
    <col min="8" max="8" width="10.7109375" customWidth="1"/>
    <col min="10" max="10" width="12.140625" customWidth="1"/>
  </cols>
  <sheetData>
    <row r="1" spans="1:13" x14ac:dyDescent="0.25">
      <c r="A1" s="2" t="s">
        <v>6</v>
      </c>
      <c r="B1" s="2" t="s">
        <v>5</v>
      </c>
      <c r="C1" s="2" t="s">
        <v>10</v>
      </c>
      <c r="D1" s="2" t="s">
        <v>4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7</v>
      </c>
      <c r="J1" s="2" t="s">
        <v>8</v>
      </c>
      <c r="K1" s="2" t="s">
        <v>9</v>
      </c>
      <c r="L1" s="2" t="s">
        <v>12</v>
      </c>
      <c r="M1" s="2" t="s">
        <v>13</v>
      </c>
    </row>
    <row r="2" spans="1:13" x14ac:dyDescent="0.25">
      <c r="A2" s="1">
        <v>123</v>
      </c>
      <c r="B2" s="1">
        <f>HEX2DEC(Tabela25[[#This Row],[VLANStr]])</f>
        <v>291</v>
      </c>
      <c r="C2" s="1" t="s">
        <v>14</v>
      </c>
      <c r="D2" s="1">
        <f>HEX2DEC(Tabela25[[#This Row],[ecpriIDstr]])</f>
        <v>41120</v>
      </c>
      <c r="E2" s="1">
        <v>0</v>
      </c>
      <c r="F2" s="1">
        <v>1</v>
      </c>
      <c r="G2" s="1">
        <v>0</v>
      </c>
      <c r="H2" s="1">
        <v>0</v>
      </c>
      <c r="I2" s="1">
        <v>1</v>
      </c>
      <c r="J2" s="1">
        <v>3</v>
      </c>
      <c r="K2" s="1">
        <v>5</v>
      </c>
      <c r="L2" s="1">
        <v>1</v>
      </c>
      <c r="M2" s="1">
        <v>10</v>
      </c>
    </row>
    <row r="3" spans="1:13" x14ac:dyDescent="0.25">
      <c r="A3" s="3">
        <v>123</v>
      </c>
      <c r="B3" s="3">
        <f>HEX2DEC(Tabela25[[#This Row],[VLANStr]])</f>
        <v>291</v>
      </c>
      <c r="C3" s="3" t="s">
        <v>15</v>
      </c>
      <c r="D3" s="3">
        <f>HEX2DEC(Tabela25[[#This Row],[ecpriIDstr]])</f>
        <v>45232</v>
      </c>
      <c r="E3" s="3">
        <v>0</v>
      </c>
      <c r="F3" s="3">
        <v>1</v>
      </c>
      <c r="G3" s="3">
        <v>0</v>
      </c>
      <c r="H3" s="3">
        <v>30</v>
      </c>
      <c r="I3" s="3">
        <v>32</v>
      </c>
      <c r="J3" s="3">
        <v>1</v>
      </c>
      <c r="K3" s="3">
        <v>10</v>
      </c>
      <c r="L3" s="3">
        <v>1</v>
      </c>
      <c r="M3" s="3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2A44-F6E4-4C75-ACFC-C45376241EA8}">
  <dimension ref="A1:M7"/>
  <sheetViews>
    <sheetView tabSelected="1" workbookViewId="0">
      <selection activeCell="F7" sqref="F7"/>
    </sheetView>
  </sheetViews>
  <sheetFormatPr defaultRowHeight="15" x14ac:dyDescent="0.25"/>
  <cols>
    <col min="1" max="1" width="10.42578125" customWidth="1"/>
    <col min="2" max="2" width="9.140625" hidden="1" customWidth="1"/>
    <col min="3" max="3" width="11.7109375" customWidth="1"/>
    <col min="4" max="4" width="9.42578125" hidden="1" customWidth="1"/>
    <col min="5" max="5" width="10.5703125" customWidth="1"/>
    <col min="6" max="6" width="13.5703125" customWidth="1"/>
    <col min="8" max="8" width="10.7109375" customWidth="1"/>
    <col min="10" max="10" width="12.140625" customWidth="1"/>
  </cols>
  <sheetData>
    <row r="1" spans="1:13" x14ac:dyDescent="0.25">
      <c r="A1" s="2" t="s">
        <v>6</v>
      </c>
      <c r="B1" s="2" t="s">
        <v>5</v>
      </c>
      <c r="C1" s="2" t="s">
        <v>10</v>
      </c>
      <c r="D1" s="2" t="s">
        <v>4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7</v>
      </c>
      <c r="J1" s="2" t="s">
        <v>8</v>
      </c>
      <c r="K1" s="2" t="s">
        <v>9</v>
      </c>
      <c r="L1" s="2" t="s">
        <v>12</v>
      </c>
      <c r="M1" s="2" t="s">
        <v>13</v>
      </c>
    </row>
    <row r="2" spans="1:13" x14ac:dyDescent="0.25">
      <c r="A2" s="1">
        <v>123</v>
      </c>
      <c r="B2" s="1">
        <f>HEX2DEC(Tabela256[[#This Row],[VLANStr]])</f>
        <v>291</v>
      </c>
      <c r="C2" s="1" t="s">
        <v>14</v>
      </c>
      <c r="D2" s="1">
        <f>HEX2DEC(Tabela256[[#This Row],[ecpriIDstr]])</f>
        <v>41120</v>
      </c>
      <c r="E2" s="1">
        <v>0</v>
      </c>
      <c r="F2" s="1">
        <v>1</v>
      </c>
      <c r="G2" s="1">
        <v>0</v>
      </c>
      <c r="H2" s="1">
        <v>0</v>
      </c>
      <c r="I2" s="1">
        <v>10</v>
      </c>
      <c r="J2" s="1">
        <v>0</v>
      </c>
      <c r="K2" s="1">
        <v>1</v>
      </c>
      <c r="L2" s="1">
        <v>1</v>
      </c>
      <c r="M2" s="1">
        <v>1</v>
      </c>
    </row>
    <row r="3" spans="1:13" x14ac:dyDescent="0.25">
      <c r="A3" t="s">
        <v>16</v>
      </c>
      <c r="B3">
        <f>HEX2DEC(Tabela256[[#This Row],[VLANStr]])</f>
        <v>299</v>
      </c>
      <c r="C3" t="s">
        <v>11</v>
      </c>
      <c r="D3">
        <f>HEX2DEC(Tabela256[[#This Row],[ecpriIDstr]])</f>
        <v>41136</v>
      </c>
      <c r="E3">
        <v>0</v>
      </c>
      <c r="F3">
        <v>2</v>
      </c>
      <c r="G3">
        <v>0</v>
      </c>
      <c r="H3">
        <v>10</v>
      </c>
      <c r="I3">
        <v>91</v>
      </c>
      <c r="J3">
        <v>0</v>
      </c>
      <c r="K3">
        <v>1</v>
      </c>
      <c r="L3">
        <v>1</v>
      </c>
      <c r="M3">
        <v>1</v>
      </c>
    </row>
    <row r="4" spans="1:13" x14ac:dyDescent="0.25">
      <c r="A4" t="s">
        <v>16</v>
      </c>
      <c r="B4">
        <f>HEX2DEC(Tabela256[[#This Row],[VLANStr]])</f>
        <v>299</v>
      </c>
      <c r="C4" t="s">
        <v>18</v>
      </c>
      <c r="D4">
        <f>HEX2DEC(Tabela256[[#This Row],[ecpriIDstr]])</f>
        <v>41137</v>
      </c>
      <c r="E4">
        <v>0</v>
      </c>
      <c r="F4">
        <v>5</v>
      </c>
      <c r="G4">
        <v>0</v>
      </c>
      <c r="H4">
        <v>10</v>
      </c>
      <c r="I4">
        <v>91</v>
      </c>
      <c r="J4">
        <v>0</v>
      </c>
      <c r="K4">
        <v>1</v>
      </c>
      <c r="L4">
        <v>1</v>
      </c>
      <c r="M4">
        <v>1</v>
      </c>
    </row>
    <row r="5" spans="1:13" x14ac:dyDescent="0.25">
      <c r="A5" t="s">
        <v>16</v>
      </c>
      <c r="B5">
        <f>HEX2DEC(Tabela256[[#This Row],[VLANStr]])</f>
        <v>299</v>
      </c>
      <c r="C5" t="s">
        <v>19</v>
      </c>
      <c r="D5">
        <f>HEX2DEC(Tabela256[[#This Row],[ecpriIDstr]])</f>
        <v>41138</v>
      </c>
      <c r="E5">
        <v>0</v>
      </c>
      <c r="F5">
        <v>3</v>
      </c>
      <c r="G5">
        <v>0</v>
      </c>
      <c r="H5">
        <v>10</v>
      </c>
      <c r="I5">
        <v>91</v>
      </c>
      <c r="J5">
        <v>0</v>
      </c>
      <c r="K5">
        <v>1</v>
      </c>
      <c r="L5">
        <v>1</v>
      </c>
      <c r="M5">
        <v>1</v>
      </c>
    </row>
    <row r="6" spans="1:13" x14ac:dyDescent="0.25">
      <c r="A6" t="s">
        <v>16</v>
      </c>
      <c r="B6">
        <f>HEX2DEC(Tabela256[[#This Row],[VLANStr]])</f>
        <v>299</v>
      </c>
      <c r="C6" t="s">
        <v>20</v>
      </c>
      <c r="D6">
        <f>HEX2DEC(Tabela256[[#This Row],[ecpriIDstr]])</f>
        <v>41139</v>
      </c>
      <c r="E6">
        <v>0</v>
      </c>
      <c r="F6">
        <v>2</v>
      </c>
      <c r="G6">
        <v>0</v>
      </c>
      <c r="H6">
        <v>10</v>
      </c>
      <c r="I6">
        <v>91</v>
      </c>
      <c r="J6">
        <v>0</v>
      </c>
      <c r="K6">
        <v>1</v>
      </c>
      <c r="L6">
        <v>1</v>
      </c>
      <c r="M6">
        <v>1</v>
      </c>
    </row>
    <row r="7" spans="1:13" x14ac:dyDescent="0.25">
      <c r="A7">
        <v>123</v>
      </c>
      <c r="B7" s="4">
        <f>HEX2DEC(Tabela256[[#This Row],[VLANStr]])</f>
        <v>291</v>
      </c>
      <c r="C7" t="s">
        <v>17</v>
      </c>
      <c r="D7" s="4">
        <f>HEX2DEC(Tabela256[[#This Row],[ecpriIDstr]])</f>
        <v>41168</v>
      </c>
      <c r="E7">
        <v>0</v>
      </c>
      <c r="F7">
        <v>1</v>
      </c>
      <c r="G7">
        <v>0</v>
      </c>
      <c r="H7">
        <v>10</v>
      </c>
      <c r="I7">
        <v>30</v>
      </c>
      <c r="J7">
        <v>0</v>
      </c>
      <c r="K7">
        <v>1</v>
      </c>
      <c r="L7">
        <v>1</v>
      </c>
      <c r="M7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AllSingle</vt:lpstr>
      <vt:lpstr>PTest</vt:lpstr>
      <vt:lpstr>SimSel</vt:lpstr>
      <vt:lpstr>ProcsTest</vt:lpstr>
      <vt:lpstr>PowerTest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Arnhold</dc:creator>
  <cp:lastModifiedBy>Felipe Arnhold</cp:lastModifiedBy>
  <dcterms:created xsi:type="dcterms:W3CDTF">2024-04-17T01:16:25Z</dcterms:created>
  <dcterms:modified xsi:type="dcterms:W3CDTF">2024-05-31T04:37:42Z</dcterms:modified>
</cp:coreProperties>
</file>