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 Scripts\"/>
    </mc:Choice>
  </mc:AlternateContent>
  <xr:revisionPtr revIDLastSave="0" documentId="13_ncr:1_{C19E9E25-41E7-4913-B1F1-817B12744AC9}" xr6:coauthVersionLast="47" xr6:coauthVersionMax="47" xr10:uidLastSave="{00000000-0000-0000-0000-000000000000}"/>
  <bookViews>
    <workbookView xWindow="-120" yWindow="-120" windowWidth="38640" windowHeight="15720" xr2:uid="{824D5939-080F-4269-800D-AAF55318D3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B5" i="1"/>
  <c r="D4" i="1"/>
  <c r="B4" i="1"/>
  <c r="D2" i="1"/>
  <c r="D3" i="1"/>
  <c r="B2" i="1"/>
  <c r="B3" i="1"/>
</calcChain>
</file>

<file path=xl/sharedStrings.xml><?xml version="1.0" encoding="utf-8"?>
<sst xmlns="http://schemas.openxmlformats.org/spreadsheetml/2006/main" count="17" uniqueCount="17">
  <si>
    <t>FrameID</t>
  </si>
  <si>
    <t>SubframeID</t>
  </si>
  <si>
    <t>SlotID</t>
  </si>
  <si>
    <t>StartPRB</t>
  </si>
  <si>
    <t>ecpriID</t>
  </si>
  <si>
    <t>A0A0</t>
  </si>
  <si>
    <t>Vlan</t>
  </si>
  <si>
    <t>VLANStr</t>
  </si>
  <si>
    <t>nPRB</t>
  </si>
  <si>
    <t>StartSymb</t>
  </si>
  <si>
    <t>nSymb</t>
  </si>
  <si>
    <t>ecpriIDstr</t>
  </si>
  <si>
    <t>A0B0</t>
  </si>
  <si>
    <t>Nslot</t>
  </si>
  <si>
    <t>SlotP</t>
  </si>
  <si>
    <t>A0C0</t>
  </si>
  <si>
    <t>A0D0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</si>
</sst>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BC38F-FD1F-429C-A176-93BF0FFF4C32}" name="Tabela1" displayName="Tabela1" ref="A1:M5" totalsRowShown="0">
  <autoFilter ref="A1:M5" xr:uid="{2EEBC38F-FD1F-429C-A176-93BF0FFF4C32}"/>
  <tableColumns count="13">
    <tableColumn id="1" xr3:uid="{81026202-A98D-4130-91E4-DD796D2080A9}" name="VLANStr"/>
    <tableColumn id="2" xr3:uid="{4C99F282-0858-4CBF-ABDE-A7EB0B2153FE}" name="Vlan" dataDxfId="1">
      <calculatedColumnFormula>HEX2DEC(Tabela1[[#This Row],[VLANStr]])</calculatedColumnFormula>
    </tableColumn>
    <tableColumn id="3" xr3:uid="{CE273171-0024-439C-84C9-6AFCA5F4F9A2}" name="ecpriIDstr"/>
    <tableColumn id="4" xr3:uid="{7201C26A-22B5-4BF2-95C8-61D65E4223A2}" name="ecpriID" dataDxfId="0">
      <calculatedColumnFormula>HEX2DEC(Tabela1[[#This Row],[ecpriIDstr]])</calculatedColumnFormula>
    </tableColumn>
    <tableColumn id="5" xr3:uid="{570466E1-C974-49B0-B8CE-D16CB9A62376}" name="FrameID"/>
    <tableColumn id="6" xr3:uid="{599FE480-9ED7-45EF-98D5-6EAFBCB608F1}" name="SubframeID"/>
    <tableColumn id="7" xr3:uid="{0C5FCCEC-B116-44C7-8C2F-61CEF2E26A2A}" name="SlotID"/>
    <tableColumn id="8" xr3:uid="{278407DA-B970-49BB-993F-D2D6F7B19848}" name="StartPRB"/>
    <tableColumn id="9" xr3:uid="{6EBF6960-6C13-4B4F-850D-EBA85BD10559}" name="nPRB"/>
    <tableColumn id="10" xr3:uid="{F3C4A8F1-B438-42B0-BBFD-68DA8FF506B3}" name="StartSymb"/>
    <tableColumn id="11" xr3:uid="{D76FB660-0106-4355-A354-D2B7296E9D77}" name="nSymb"/>
    <tableColumn id="12" xr3:uid="{83B8C1B0-A83B-4272-9529-3E40F42948CE}" name="Nslot"/>
    <tableColumn id="13" xr3:uid="{99953A1B-A4B9-4DFA-A930-5624F5DAA40B}" name="Slot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0B60-870A-4AF8-8477-688E93A5FFE9}">
  <dimension ref="A1:W18"/>
  <sheetViews>
    <sheetView tabSelected="1" workbookViewId="0">
      <selection activeCell="O15" sqref="O15"/>
    </sheetView>
  </sheetViews>
  <sheetFormatPr defaultRowHeight="15" x14ac:dyDescent="0.25"/>
  <cols>
    <col min="1" max="1" width="10.42578125" customWidth="1"/>
    <col min="2" max="2" width="9.140625" hidden="1" customWidth="1"/>
    <col min="3" max="3" width="11.7109375" customWidth="1"/>
    <col min="4" max="4" width="10.28515625" hidden="1" customWidth="1"/>
    <col min="5" max="5" width="10.5703125" customWidth="1"/>
    <col min="6" max="6" width="13.5703125" customWidth="1"/>
    <col min="8" max="8" width="10.7109375" customWidth="1"/>
    <col min="10" max="10" width="12.140625" customWidth="1"/>
  </cols>
  <sheetData>
    <row r="1" spans="1:23" x14ac:dyDescent="0.25">
      <c r="A1" t="s">
        <v>7</v>
      </c>
      <c r="B1" t="s">
        <v>6</v>
      </c>
      <c r="C1" t="s">
        <v>11</v>
      </c>
      <c r="D1" t="s">
        <v>4</v>
      </c>
      <c r="E1" t="s">
        <v>0</v>
      </c>
      <c r="F1" t="s">
        <v>1</v>
      </c>
      <c r="G1" t="s">
        <v>2</v>
      </c>
      <c r="H1" t="s">
        <v>3</v>
      </c>
      <c r="I1" t="s">
        <v>8</v>
      </c>
      <c r="J1" t="s">
        <v>9</v>
      </c>
      <c r="K1" t="s">
        <v>10</v>
      </c>
      <c r="L1" t="s">
        <v>13</v>
      </c>
      <c r="M1" t="s">
        <v>14</v>
      </c>
      <c r="U1">
        <v>1</v>
      </c>
      <c r="V1">
        <v>2</v>
      </c>
      <c r="W1">
        <v>3</v>
      </c>
    </row>
    <row r="2" spans="1:23" x14ac:dyDescent="0.25">
      <c r="A2">
        <v>123</v>
      </c>
      <c r="B2">
        <f>HEX2DEC(Tabela1[[#This Row],[VLANStr]])</f>
        <v>291</v>
      </c>
      <c r="C2" t="s">
        <v>5</v>
      </c>
      <c r="D2">
        <f>HEX2DEC(Tabela1[[#This Row],[ecpriIDstr]])</f>
        <v>41120</v>
      </c>
      <c r="E2">
        <v>0</v>
      </c>
      <c r="F2">
        <v>1</v>
      </c>
      <c r="G2">
        <v>0</v>
      </c>
      <c r="H2">
        <v>0</v>
      </c>
      <c r="I2">
        <v>100</v>
      </c>
      <c r="J2">
        <v>0</v>
      </c>
      <c r="K2">
        <v>14</v>
      </c>
      <c r="L2">
        <v>1</v>
      </c>
      <c r="M2">
        <v>5</v>
      </c>
    </row>
    <row r="3" spans="1:23" x14ac:dyDescent="0.25">
      <c r="A3">
        <v>120</v>
      </c>
      <c r="B3">
        <f>HEX2DEC(Tabela1[[#This Row],[VLANStr]])</f>
        <v>288</v>
      </c>
      <c r="C3" t="s">
        <v>12</v>
      </c>
      <c r="D3">
        <f>HEX2DEC(Tabela1[[#This Row],[ecpriIDstr]])</f>
        <v>41136</v>
      </c>
      <c r="E3">
        <v>0</v>
      </c>
      <c r="F3">
        <v>1</v>
      </c>
      <c r="G3">
        <v>0</v>
      </c>
      <c r="H3">
        <v>20</v>
      </c>
      <c r="I3">
        <v>1</v>
      </c>
      <c r="J3">
        <v>5</v>
      </c>
      <c r="K3">
        <v>1</v>
      </c>
      <c r="L3">
        <v>1</v>
      </c>
      <c r="M3">
        <v>3</v>
      </c>
    </row>
    <row r="4" spans="1:23" x14ac:dyDescent="0.25">
      <c r="A4">
        <v>120</v>
      </c>
      <c r="B4">
        <f>HEX2DEC(Tabela1[[#This Row],[VLANStr]])</f>
        <v>288</v>
      </c>
      <c r="C4" t="s">
        <v>15</v>
      </c>
      <c r="D4">
        <f>HEX2DEC(Tabela1[[#This Row],[ecpriIDstr]])</f>
        <v>41152</v>
      </c>
      <c r="E4">
        <v>0</v>
      </c>
      <c r="F4">
        <v>1</v>
      </c>
      <c r="G4">
        <v>0</v>
      </c>
      <c r="H4">
        <v>21</v>
      </c>
      <c r="I4">
        <v>1</v>
      </c>
      <c r="J4">
        <v>5</v>
      </c>
      <c r="K4">
        <v>1</v>
      </c>
      <c r="L4">
        <v>1</v>
      </c>
      <c r="M4">
        <v>1</v>
      </c>
    </row>
    <row r="5" spans="1:23" x14ac:dyDescent="0.25">
      <c r="A5">
        <v>120</v>
      </c>
      <c r="B5">
        <f>HEX2DEC(Tabela1[[#This Row],[VLANStr]])</f>
        <v>288</v>
      </c>
      <c r="C5" t="s">
        <v>16</v>
      </c>
      <c r="D5">
        <f>HEX2DEC(Tabela1[[#This Row],[ecpriIDstr]])</f>
        <v>41168</v>
      </c>
      <c r="E5">
        <v>0</v>
      </c>
      <c r="F5">
        <v>2</v>
      </c>
      <c r="G5">
        <v>0</v>
      </c>
      <c r="H5">
        <v>0</v>
      </c>
      <c r="I5">
        <v>10</v>
      </c>
      <c r="J5">
        <v>5</v>
      </c>
      <c r="K5">
        <v>1</v>
      </c>
      <c r="L5">
        <v>2</v>
      </c>
      <c r="M5">
        <v>3</v>
      </c>
    </row>
    <row r="18" spans="15:15" x14ac:dyDescent="0.25">
      <c r="O18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Arnhold</dc:creator>
  <cp:lastModifiedBy>Felipe Arnhold</cp:lastModifiedBy>
  <dcterms:created xsi:type="dcterms:W3CDTF">2024-04-17T01:16:25Z</dcterms:created>
  <dcterms:modified xsi:type="dcterms:W3CDTF">2024-04-19T02:45:18Z</dcterms:modified>
</cp:coreProperties>
</file>