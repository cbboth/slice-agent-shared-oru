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 Scripts\"/>
    </mc:Choice>
  </mc:AlternateContent>
  <xr:revisionPtr revIDLastSave="0" documentId="13_ncr:1_{EC448B48-2AB7-4D4B-A37B-BEEA597540D6}" xr6:coauthVersionLast="47" xr6:coauthVersionMax="47" xr10:uidLastSave="{00000000-0000-0000-0000-000000000000}"/>
  <bookViews>
    <workbookView xWindow="-120" yWindow="-120" windowWidth="38640" windowHeight="15720" xr2:uid="{824D5939-080F-4269-800D-AAF55318D34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B15" i="1"/>
  <c r="D14" i="1"/>
  <c r="B14" i="1"/>
  <c r="D13" i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D3" i="1"/>
  <c r="B3" i="1"/>
  <c r="D2" i="1"/>
  <c r="B2" i="1"/>
</calcChain>
</file>

<file path=xl/sharedStrings.xml><?xml version="1.0" encoding="utf-8"?>
<sst xmlns="http://schemas.openxmlformats.org/spreadsheetml/2006/main" count="27" uniqueCount="14">
  <si>
    <t>FrameID</t>
  </si>
  <si>
    <t>SubframeID</t>
  </si>
  <si>
    <t>SlotID</t>
  </si>
  <si>
    <t>StartPRB</t>
  </si>
  <si>
    <t>ecpriID</t>
  </si>
  <si>
    <t>A0A0</t>
  </si>
  <si>
    <t>Vlan</t>
  </si>
  <si>
    <t>VLANStr</t>
  </si>
  <si>
    <t>nPRB</t>
  </si>
  <si>
    <t>StartSymb</t>
  </si>
  <si>
    <t>nSymb</t>
  </si>
  <si>
    <t>ecpriIDstr</t>
  </si>
  <si>
    <t>Nslot</t>
  </si>
  <si>
    <t>SlotP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</si>
</sst>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BC38F-FD1F-429C-A176-93BF0FFF4C32}" name="Tabela1" displayName="Tabela1" ref="A1:M15" totalsRowShown="0">
  <autoFilter ref="A1:M15" xr:uid="{2EEBC38F-FD1F-429C-A176-93BF0FFF4C32}"/>
  <tableColumns count="13">
    <tableColumn id="1" xr3:uid="{81026202-A98D-4130-91E4-DD796D2080A9}" name="VLANStr"/>
    <tableColumn id="2" xr3:uid="{4C99F282-0858-4CBF-ABDE-A7EB0B2153FE}" name="Vlan" dataDxfId="1">
      <calculatedColumnFormula>HEX2DEC(Tabela1[[#This Row],[VLANStr]])</calculatedColumnFormula>
    </tableColumn>
    <tableColumn id="3" xr3:uid="{CE273171-0024-439C-84C9-6AFCA5F4F9A2}" name="ecpriIDstr"/>
    <tableColumn id="4" xr3:uid="{7201C26A-22B5-4BF2-95C8-61D65E4223A2}" name="ecpriID" dataDxfId="0">
      <calculatedColumnFormula>HEX2DEC(Tabela1[[#This Row],[ecpriIDstr]])</calculatedColumnFormula>
    </tableColumn>
    <tableColumn id="5" xr3:uid="{570466E1-C974-49B0-B8CE-D16CB9A62376}" name="FrameID"/>
    <tableColumn id="6" xr3:uid="{599FE480-9ED7-45EF-98D5-6EAFBCB608F1}" name="SubframeID"/>
    <tableColumn id="7" xr3:uid="{0C5FCCEC-B116-44C7-8C2F-61CEF2E26A2A}" name="SlotID"/>
    <tableColumn id="8" xr3:uid="{278407DA-B970-49BB-993F-D2D6F7B19848}" name="StartPRB"/>
    <tableColumn id="9" xr3:uid="{6EBF6960-6C13-4B4F-850D-EBA85BD10559}" name="nPRB"/>
    <tableColumn id="10" xr3:uid="{F3C4A8F1-B438-42B0-BBFD-68DA8FF506B3}" name="StartSymb"/>
    <tableColumn id="11" xr3:uid="{D76FB660-0106-4355-A354-D2B7296E9D77}" name="nSymb"/>
    <tableColumn id="12" xr3:uid="{83B8C1B0-A83B-4272-9529-3E40F42948CE}" name="Nslot"/>
    <tableColumn id="13" xr3:uid="{99953A1B-A4B9-4DFA-A930-5624F5DAA40B}" name="Slot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0B60-870A-4AF8-8477-688E93A5FFE9}">
  <dimension ref="A1:M19"/>
  <sheetViews>
    <sheetView tabSelected="1" workbookViewId="0">
      <selection activeCell="L19" sqref="L19"/>
    </sheetView>
  </sheetViews>
  <sheetFormatPr defaultRowHeight="15" x14ac:dyDescent="0.25"/>
  <cols>
    <col min="1" max="1" width="10.42578125" customWidth="1"/>
    <col min="2" max="2" width="9.140625" hidden="1" customWidth="1"/>
    <col min="3" max="3" width="11.7109375" customWidth="1"/>
    <col min="4" max="4" width="10.28515625" hidden="1" customWidth="1"/>
    <col min="5" max="5" width="10.5703125" customWidth="1"/>
    <col min="6" max="6" width="13.5703125" customWidth="1"/>
    <col min="8" max="8" width="10.7109375" customWidth="1"/>
    <col min="10" max="10" width="12.140625" customWidth="1"/>
  </cols>
  <sheetData>
    <row r="1" spans="1:13" x14ac:dyDescent="0.25">
      <c r="A1" t="s">
        <v>7</v>
      </c>
      <c r="B1" t="s">
        <v>6</v>
      </c>
      <c r="C1" t="s">
        <v>11</v>
      </c>
      <c r="D1" t="s">
        <v>4</v>
      </c>
      <c r="E1" t="s">
        <v>0</v>
      </c>
      <c r="F1" t="s">
        <v>1</v>
      </c>
      <c r="G1" t="s">
        <v>2</v>
      </c>
      <c r="H1" t="s">
        <v>3</v>
      </c>
      <c r="I1" t="s">
        <v>8</v>
      </c>
      <c r="J1" t="s">
        <v>9</v>
      </c>
      <c r="K1" t="s">
        <v>10</v>
      </c>
      <c r="L1" t="s">
        <v>12</v>
      </c>
      <c r="M1" t="s">
        <v>13</v>
      </c>
    </row>
    <row r="2" spans="1:13" x14ac:dyDescent="0.25">
      <c r="A2">
        <v>123</v>
      </c>
      <c r="B2">
        <f>HEX2DEC(Tabela1[[#This Row],[VLANStr]])</f>
        <v>291</v>
      </c>
      <c r="C2" t="s">
        <v>5</v>
      </c>
      <c r="D2">
        <f>HEX2DEC(Tabela1[[#This Row],[ecpriIDstr]])</f>
        <v>41120</v>
      </c>
      <c r="E2">
        <v>0</v>
      </c>
      <c r="F2">
        <v>1</v>
      </c>
      <c r="G2">
        <v>0</v>
      </c>
      <c r="H2">
        <v>0</v>
      </c>
      <c r="I2">
        <v>255</v>
      </c>
      <c r="J2">
        <v>0</v>
      </c>
      <c r="K2">
        <v>1</v>
      </c>
      <c r="L2">
        <v>1</v>
      </c>
      <c r="M2">
        <v>2</v>
      </c>
    </row>
    <row r="3" spans="1:13" x14ac:dyDescent="0.25">
      <c r="A3">
        <v>123</v>
      </c>
      <c r="B3">
        <f>HEX2DEC(Tabela1[[#This Row],[VLANStr]])</f>
        <v>291</v>
      </c>
      <c r="C3" t="s">
        <v>5</v>
      </c>
      <c r="D3">
        <f>HEX2DEC(Tabela1[[#This Row],[ecpriIDstr]])</f>
        <v>41120</v>
      </c>
      <c r="E3">
        <v>0</v>
      </c>
      <c r="F3">
        <v>1</v>
      </c>
      <c r="G3">
        <v>0</v>
      </c>
      <c r="H3">
        <v>0</v>
      </c>
      <c r="I3">
        <v>255</v>
      </c>
      <c r="J3">
        <v>1</v>
      </c>
      <c r="K3">
        <v>1</v>
      </c>
      <c r="L3">
        <v>1</v>
      </c>
      <c r="M3">
        <v>2</v>
      </c>
    </row>
    <row r="4" spans="1:13" x14ac:dyDescent="0.25">
      <c r="A4">
        <v>123</v>
      </c>
      <c r="B4" s="1">
        <f>HEX2DEC(Tabela1[[#This Row],[VLANStr]])</f>
        <v>291</v>
      </c>
      <c r="C4" t="s">
        <v>5</v>
      </c>
      <c r="D4" s="1">
        <f>HEX2DEC(Tabela1[[#This Row],[ecpriIDstr]])</f>
        <v>41120</v>
      </c>
      <c r="E4">
        <v>0</v>
      </c>
      <c r="F4">
        <v>1</v>
      </c>
      <c r="G4">
        <v>0</v>
      </c>
      <c r="H4">
        <v>0</v>
      </c>
      <c r="I4">
        <v>255</v>
      </c>
      <c r="J4">
        <v>2</v>
      </c>
      <c r="K4">
        <v>1</v>
      </c>
      <c r="L4">
        <v>1</v>
      </c>
      <c r="M4">
        <v>2</v>
      </c>
    </row>
    <row r="5" spans="1:13" x14ac:dyDescent="0.25">
      <c r="A5">
        <v>123</v>
      </c>
      <c r="B5" s="1">
        <f>HEX2DEC(Tabela1[[#This Row],[VLANStr]])</f>
        <v>291</v>
      </c>
      <c r="C5" t="s">
        <v>5</v>
      </c>
      <c r="D5" s="1">
        <f>HEX2DEC(Tabela1[[#This Row],[ecpriIDstr]])</f>
        <v>41120</v>
      </c>
      <c r="E5">
        <v>0</v>
      </c>
      <c r="F5">
        <v>1</v>
      </c>
      <c r="G5">
        <v>0</v>
      </c>
      <c r="H5">
        <v>0</v>
      </c>
      <c r="I5">
        <v>255</v>
      </c>
      <c r="J5">
        <v>3</v>
      </c>
      <c r="K5">
        <v>1</v>
      </c>
      <c r="L5">
        <v>1</v>
      </c>
      <c r="M5">
        <v>2</v>
      </c>
    </row>
    <row r="6" spans="1:13" x14ac:dyDescent="0.25">
      <c r="A6">
        <v>123</v>
      </c>
      <c r="B6" s="1">
        <f>HEX2DEC(Tabela1[[#This Row],[VLANStr]])</f>
        <v>291</v>
      </c>
      <c r="C6" t="s">
        <v>5</v>
      </c>
      <c r="D6" s="1">
        <f>HEX2DEC(Tabela1[[#This Row],[ecpriIDstr]])</f>
        <v>41120</v>
      </c>
      <c r="E6">
        <v>0</v>
      </c>
      <c r="F6">
        <v>1</v>
      </c>
      <c r="G6">
        <v>0</v>
      </c>
      <c r="H6">
        <v>0</v>
      </c>
      <c r="I6">
        <v>255</v>
      </c>
      <c r="J6">
        <v>4</v>
      </c>
      <c r="K6">
        <v>1</v>
      </c>
      <c r="L6">
        <v>1</v>
      </c>
      <c r="M6">
        <v>2</v>
      </c>
    </row>
    <row r="7" spans="1:13" x14ac:dyDescent="0.25">
      <c r="A7">
        <v>123</v>
      </c>
      <c r="B7" s="1">
        <f>HEX2DEC(Tabela1[[#This Row],[VLANStr]])</f>
        <v>291</v>
      </c>
      <c r="C7" t="s">
        <v>5</v>
      </c>
      <c r="D7" s="1">
        <f>HEX2DEC(Tabela1[[#This Row],[ecpriIDstr]])</f>
        <v>41120</v>
      </c>
      <c r="E7">
        <v>0</v>
      </c>
      <c r="F7">
        <v>1</v>
      </c>
      <c r="G7">
        <v>0</v>
      </c>
      <c r="H7">
        <v>0</v>
      </c>
      <c r="I7">
        <v>255</v>
      </c>
      <c r="J7">
        <v>5</v>
      </c>
      <c r="K7">
        <v>1</v>
      </c>
      <c r="L7">
        <v>1</v>
      </c>
      <c r="M7">
        <v>2</v>
      </c>
    </row>
    <row r="8" spans="1:13" x14ac:dyDescent="0.25">
      <c r="A8">
        <v>123</v>
      </c>
      <c r="B8" s="1">
        <f>HEX2DEC(Tabela1[[#This Row],[VLANStr]])</f>
        <v>291</v>
      </c>
      <c r="C8" t="s">
        <v>5</v>
      </c>
      <c r="D8" s="1">
        <f>HEX2DEC(Tabela1[[#This Row],[ecpriIDstr]])</f>
        <v>41120</v>
      </c>
      <c r="E8">
        <v>0</v>
      </c>
      <c r="F8">
        <v>1</v>
      </c>
      <c r="G8">
        <v>0</v>
      </c>
      <c r="H8">
        <v>0</v>
      </c>
      <c r="I8">
        <v>255</v>
      </c>
      <c r="J8">
        <v>6</v>
      </c>
      <c r="K8">
        <v>1</v>
      </c>
      <c r="L8">
        <v>1</v>
      </c>
      <c r="M8">
        <v>2</v>
      </c>
    </row>
    <row r="9" spans="1:13" x14ac:dyDescent="0.25">
      <c r="A9">
        <v>123</v>
      </c>
      <c r="B9" s="1">
        <f>HEX2DEC(Tabela1[[#This Row],[VLANStr]])</f>
        <v>291</v>
      </c>
      <c r="C9" t="s">
        <v>5</v>
      </c>
      <c r="D9" s="1">
        <f>HEX2DEC(Tabela1[[#This Row],[ecpriIDstr]])</f>
        <v>41120</v>
      </c>
      <c r="E9">
        <v>0</v>
      </c>
      <c r="F9">
        <v>1</v>
      </c>
      <c r="G9">
        <v>0</v>
      </c>
      <c r="H9">
        <v>0</v>
      </c>
      <c r="I9">
        <v>255</v>
      </c>
      <c r="J9">
        <v>7</v>
      </c>
      <c r="K9">
        <v>1</v>
      </c>
      <c r="L9">
        <v>1</v>
      </c>
      <c r="M9">
        <v>2</v>
      </c>
    </row>
    <row r="10" spans="1:13" x14ac:dyDescent="0.25">
      <c r="A10">
        <v>123</v>
      </c>
      <c r="B10" s="1">
        <f>HEX2DEC(Tabela1[[#This Row],[VLANStr]])</f>
        <v>291</v>
      </c>
      <c r="C10" t="s">
        <v>5</v>
      </c>
      <c r="D10" s="1">
        <f>HEX2DEC(Tabela1[[#This Row],[ecpriIDstr]])</f>
        <v>41120</v>
      </c>
      <c r="E10">
        <v>0</v>
      </c>
      <c r="F10">
        <v>1</v>
      </c>
      <c r="G10">
        <v>0</v>
      </c>
      <c r="H10">
        <v>0</v>
      </c>
      <c r="I10">
        <v>255</v>
      </c>
      <c r="J10">
        <v>8</v>
      </c>
      <c r="K10">
        <v>1</v>
      </c>
      <c r="L10">
        <v>1</v>
      </c>
      <c r="M10">
        <v>2</v>
      </c>
    </row>
    <row r="11" spans="1:13" x14ac:dyDescent="0.25">
      <c r="A11">
        <v>123</v>
      </c>
      <c r="B11" s="1">
        <f>HEX2DEC(Tabela1[[#This Row],[VLANStr]])</f>
        <v>291</v>
      </c>
      <c r="C11" t="s">
        <v>5</v>
      </c>
      <c r="D11" s="1">
        <f>HEX2DEC(Tabela1[[#This Row],[ecpriIDstr]])</f>
        <v>41120</v>
      </c>
      <c r="E11">
        <v>0</v>
      </c>
      <c r="F11">
        <v>1</v>
      </c>
      <c r="G11">
        <v>0</v>
      </c>
      <c r="H11">
        <v>0</v>
      </c>
      <c r="I11">
        <v>255</v>
      </c>
      <c r="J11">
        <v>9</v>
      </c>
      <c r="K11">
        <v>1</v>
      </c>
      <c r="L11">
        <v>1</v>
      </c>
      <c r="M11">
        <v>2</v>
      </c>
    </row>
    <row r="12" spans="1:13" x14ac:dyDescent="0.25">
      <c r="A12">
        <v>123</v>
      </c>
      <c r="B12" s="1">
        <f>HEX2DEC(Tabela1[[#This Row],[VLANStr]])</f>
        <v>291</v>
      </c>
      <c r="C12" t="s">
        <v>5</v>
      </c>
      <c r="D12" s="1">
        <f>HEX2DEC(Tabela1[[#This Row],[ecpriIDstr]])</f>
        <v>41120</v>
      </c>
      <c r="E12">
        <v>0</v>
      </c>
      <c r="F12">
        <v>1</v>
      </c>
      <c r="G12">
        <v>0</v>
      </c>
      <c r="H12">
        <v>0</v>
      </c>
      <c r="I12">
        <v>255</v>
      </c>
      <c r="J12">
        <v>10</v>
      </c>
      <c r="K12">
        <v>1</v>
      </c>
      <c r="L12">
        <v>1</v>
      </c>
      <c r="M12">
        <v>2</v>
      </c>
    </row>
    <row r="13" spans="1:13" x14ac:dyDescent="0.25">
      <c r="A13">
        <v>123</v>
      </c>
      <c r="B13" s="1">
        <f>HEX2DEC(Tabela1[[#This Row],[VLANStr]])</f>
        <v>291</v>
      </c>
      <c r="C13" t="s">
        <v>5</v>
      </c>
      <c r="D13" s="1">
        <f>HEX2DEC(Tabela1[[#This Row],[ecpriIDstr]])</f>
        <v>41120</v>
      </c>
      <c r="E13">
        <v>0</v>
      </c>
      <c r="F13">
        <v>1</v>
      </c>
      <c r="G13">
        <v>0</v>
      </c>
      <c r="H13">
        <v>0</v>
      </c>
      <c r="I13">
        <v>255</v>
      </c>
      <c r="J13">
        <v>11</v>
      </c>
      <c r="K13">
        <v>1</v>
      </c>
      <c r="L13">
        <v>1</v>
      </c>
      <c r="M13">
        <v>2</v>
      </c>
    </row>
    <row r="14" spans="1:13" x14ac:dyDescent="0.25">
      <c r="A14">
        <v>123</v>
      </c>
      <c r="B14" s="1">
        <f>HEX2DEC(Tabela1[[#This Row],[VLANStr]])</f>
        <v>291</v>
      </c>
      <c r="C14" t="s">
        <v>5</v>
      </c>
      <c r="D14" s="1">
        <f>HEX2DEC(Tabela1[[#This Row],[ecpriIDstr]])</f>
        <v>41120</v>
      </c>
      <c r="E14">
        <v>0</v>
      </c>
      <c r="F14">
        <v>1</v>
      </c>
      <c r="G14">
        <v>0</v>
      </c>
      <c r="H14">
        <v>0</v>
      </c>
      <c r="I14">
        <v>255</v>
      </c>
      <c r="J14">
        <v>12</v>
      </c>
      <c r="K14">
        <v>1</v>
      </c>
      <c r="L14">
        <v>1</v>
      </c>
      <c r="M14">
        <v>2</v>
      </c>
    </row>
    <row r="15" spans="1:13" x14ac:dyDescent="0.25">
      <c r="A15">
        <v>123</v>
      </c>
      <c r="B15" s="1">
        <f>HEX2DEC(Tabela1[[#This Row],[VLANStr]])</f>
        <v>291</v>
      </c>
      <c r="C15" t="s">
        <v>5</v>
      </c>
      <c r="D15" s="1">
        <f>HEX2DEC(Tabela1[[#This Row],[ecpriIDstr]])</f>
        <v>41120</v>
      </c>
      <c r="E15">
        <v>0</v>
      </c>
      <c r="F15">
        <v>1</v>
      </c>
      <c r="G15">
        <v>0</v>
      </c>
      <c r="H15">
        <v>0</v>
      </c>
      <c r="I15">
        <v>255</v>
      </c>
      <c r="J15">
        <v>13</v>
      </c>
      <c r="K15">
        <v>1</v>
      </c>
      <c r="L15">
        <v>1</v>
      </c>
      <c r="M15">
        <v>2</v>
      </c>
    </row>
    <row r="19" spans="12:12" x14ac:dyDescent="0.25">
      <c r="L19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Arnhold</dc:creator>
  <cp:lastModifiedBy>Felipe Arnhold</cp:lastModifiedBy>
  <dcterms:created xsi:type="dcterms:W3CDTF">2024-04-17T01:16:25Z</dcterms:created>
  <dcterms:modified xsi:type="dcterms:W3CDTF">2024-04-20T01:04:21Z</dcterms:modified>
</cp:coreProperties>
</file>